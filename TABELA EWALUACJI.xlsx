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usz1" sheetId="1" r:id="rId5"/>
    <sheet state="visible" name="Arkusz2" sheetId="2" r:id="rId6"/>
  </sheets>
  <definedNames/>
  <calcPr/>
</workbook>
</file>

<file path=xl/sharedStrings.xml><?xml version="1.0" encoding="utf-8"?>
<sst xmlns="http://schemas.openxmlformats.org/spreadsheetml/2006/main" count="687" uniqueCount="85">
  <si>
    <t>MIESZKANIA WZORCOWE</t>
  </si>
  <si>
    <t>MIESZKANIA WYGENEROWANE</t>
  </si>
  <si>
    <t>TYP MIESZKANIA</t>
  </si>
  <si>
    <t>M1_S</t>
  </si>
  <si>
    <t>M1_L</t>
  </si>
  <si>
    <t>M2_S1</t>
  </si>
  <si>
    <t>M2_S2</t>
  </si>
  <si>
    <t>M2_L</t>
  </si>
  <si>
    <t>M3_S</t>
  </si>
  <si>
    <t>M3_L</t>
  </si>
  <si>
    <t>M4_S</t>
  </si>
  <si>
    <t>M4_L</t>
  </si>
  <si>
    <t>P.K.</t>
  </si>
  <si>
    <t>S.K.</t>
  </si>
  <si>
    <t>%</t>
  </si>
  <si>
    <t>KRYTERIUM</t>
  </si>
  <si>
    <t>A - PRAWO BUDOWLANE</t>
  </si>
  <si>
    <t>A.1</t>
  </si>
  <si>
    <t>A.1.1</t>
  </si>
  <si>
    <t>A.1.2</t>
  </si>
  <si>
    <t>A.1.3</t>
  </si>
  <si>
    <t>N.A.</t>
  </si>
  <si>
    <t>A.1.4</t>
  </si>
  <si>
    <t>A.1.5</t>
  </si>
  <si>
    <t>A.1.6</t>
  </si>
  <si>
    <t>A.1.7</t>
  </si>
  <si>
    <t>A.1.8</t>
  </si>
  <si>
    <t>A.1.9</t>
  </si>
  <si>
    <t>A.1.10</t>
  </si>
  <si>
    <t>A.2</t>
  </si>
  <si>
    <t>A.2.1</t>
  </si>
  <si>
    <t>A.2.2</t>
  </si>
  <si>
    <t>A.2.3</t>
  </si>
  <si>
    <t>A.2.4</t>
  </si>
  <si>
    <t>A.2.5</t>
  </si>
  <si>
    <t>B - KSZTAŁTOWANIE PRZESTRZENI</t>
  </si>
  <si>
    <t>B.1</t>
  </si>
  <si>
    <t>B.1.1</t>
  </si>
  <si>
    <t>B.1.2</t>
  </si>
  <si>
    <t>B.1.3</t>
  </si>
  <si>
    <t>B.1.4</t>
  </si>
  <si>
    <t>B.1.5</t>
  </si>
  <si>
    <t>B.1.6</t>
  </si>
  <si>
    <t>B.2</t>
  </si>
  <si>
    <t>B.2.1</t>
  </si>
  <si>
    <t>B.2.2</t>
  </si>
  <si>
    <t>B.2.3</t>
  </si>
  <si>
    <t>B.2.3.1</t>
  </si>
  <si>
    <t>B.2.3.2</t>
  </si>
  <si>
    <t>B.2.4</t>
  </si>
  <si>
    <t>B.2.5</t>
  </si>
  <si>
    <t>B.2.6</t>
  </si>
  <si>
    <t>B.2.7</t>
  </si>
  <si>
    <t>C - ERGONOMIA WNĘTRZ</t>
  </si>
  <si>
    <t>C.1</t>
  </si>
  <si>
    <t>C.1.1</t>
  </si>
  <si>
    <t>C.1.2</t>
  </si>
  <si>
    <t>C.1.3</t>
  </si>
  <si>
    <t>C.2</t>
  </si>
  <si>
    <t>C.2.1</t>
  </si>
  <si>
    <t>C.2.2</t>
  </si>
  <si>
    <t>C.3</t>
  </si>
  <si>
    <t>C.3.1</t>
  </si>
  <si>
    <t>C.3.2</t>
  </si>
  <si>
    <t>C.4</t>
  </si>
  <si>
    <t>C.4.1</t>
  </si>
  <si>
    <t>C.4.2</t>
  </si>
  <si>
    <t>C.4.3</t>
  </si>
  <si>
    <t>C.5</t>
  </si>
  <si>
    <t>C.5.1</t>
  </si>
  <si>
    <t>C.5.2</t>
  </si>
  <si>
    <t>C.6</t>
  </si>
  <si>
    <t>C.6.1</t>
  </si>
  <si>
    <t>C.6.2</t>
  </si>
  <si>
    <t>C.6.3</t>
  </si>
  <si>
    <t>C.7</t>
  </si>
  <si>
    <t>C.7.1</t>
  </si>
  <si>
    <t>C.7.2</t>
  </si>
  <si>
    <t>C.7.3</t>
  </si>
  <si>
    <t>PRZYJĘTYCH KRYTERIÓW</t>
  </si>
  <si>
    <t>SPEŁNIONYCH KRYTERIÓW</t>
  </si>
  <si>
    <t>KRYTERIA KONIECZNE</t>
  </si>
  <si>
    <t>% KRYTERIÓW KONIECZNYCH</t>
  </si>
  <si>
    <t>Fullfillment</t>
  </si>
  <si>
    <t>Criterion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</si>
</sst>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93C47D"/>
        <bgColor rgb="FF93C47D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horizontal="center" readingOrder="0"/>
    </xf>
    <xf borderId="3" fillId="0" fontId="2" numFmtId="0" xfId="0" applyBorder="1" applyFont="1"/>
    <xf borderId="4" fillId="0" fontId="2" numFmtId="0" xfId="0" applyBorder="1" applyFont="1"/>
    <xf borderId="1" fillId="0" fontId="1" numFmtId="0" xfId="0" applyBorder="1" applyFont="1"/>
    <xf borderId="5" fillId="0" fontId="1" numFmtId="0" xfId="0" applyAlignment="1" applyBorder="1" applyFont="1">
      <alignment readingOrder="0" vertical="top"/>
    </xf>
    <xf borderId="1" fillId="2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 vertical="top"/>
    </xf>
    <xf borderId="1" fillId="0" fontId="1" numFmtId="10" xfId="0" applyAlignment="1" applyBorder="1" applyFont="1" applyNumberFormat="1">
      <alignment readingOrder="0" vertical="top"/>
    </xf>
    <xf borderId="1" fillId="2" fontId="1" numFmtId="10" xfId="0" applyAlignment="1" applyBorder="1" applyFont="1" applyNumberFormat="1">
      <alignment readingOrder="0" vertical="top"/>
    </xf>
    <xf borderId="6" fillId="0" fontId="2" numFmtId="0" xfId="0" applyBorder="1" applyFont="1"/>
    <xf borderId="1" fillId="3" fontId="1" numFmtId="10" xfId="0" applyAlignment="1" applyBorder="1" applyFill="1" applyFont="1" applyNumberFormat="1">
      <alignment readingOrder="0" vertical="top"/>
    </xf>
    <xf borderId="7" fillId="0" fontId="2" numFmtId="0" xfId="0" applyBorder="1" applyFont="1"/>
    <xf borderId="1" fillId="0" fontId="1" numFmtId="10" xfId="0" applyBorder="1" applyFont="1" applyNumberFormat="1"/>
    <xf borderId="1" fillId="0" fontId="1" numFmtId="9" xfId="0" applyAlignment="1" applyBorder="1" applyFont="1" applyNumberFormat="1">
      <alignment readingOrder="0"/>
    </xf>
    <xf borderId="0" fillId="0" fontId="1" numFmtId="0" xfId="0" applyFont="1"/>
    <xf borderId="0" fillId="0" fontId="1" numFmtId="10" xfId="0" applyFont="1" applyNumberFormat="1"/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Arkusz1!$AF$4:$AF$50</c:f>
            </c:strRef>
          </c:cat>
          <c:val>
            <c:numRef>
              <c:f>Arkusz1!$AE$4:$AE$50</c:f>
              <c:numCache/>
            </c:numRef>
          </c:val>
        </c:ser>
        <c:axId val="1734451788"/>
        <c:axId val="1842955032"/>
      </c:barChart>
      <c:catAx>
        <c:axId val="17344517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2955032"/>
      </c:catAx>
      <c:valAx>
        <c:axId val="18429550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44517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Arkusz1!$T$57:$T$58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Arkusz1!$U$57:$U$58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Arkusz1!$V$57:$V$58</c:f>
              <c:numCache/>
            </c:numRef>
          </c:val>
        </c:ser>
        <c:ser>
          <c:idx val="3"/>
          <c:order val="3"/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Arkusz1!$W$57:$W$58</c:f>
              <c:numCache/>
            </c:numRef>
          </c:val>
        </c:ser>
        <c:ser>
          <c:idx val="4"/>
          <c:order val="4"/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Arkusz1!$X$57:$X$58</c:f>
              <c:numCache/>
            </c:numRef>
          </c:val>
        </c:ser>
        <c:ser>
          <c:idx val="5"/>
          <c:order val="5"/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Arkusz1!$Y$57:$Y$58</c:f>
              <c:numCache/>
            </c:numRef>
          </c:val>
        </c:ser>
        <c:ser>
          <c:idx val="6"/>
          <c:order val="6"/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Arkusz1!$Z$57:$Z$58</c:f>
              <c:numCache/>
            </c:numRef>
          </c:val>
        </c:ser>
        <c:ser>
          <c:idx val="7"/>
          <c:order val="7"/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Arkusz1!$AA$57:$AA$58</c:f>
              <c:numCache/>
            </c:numRef>
          </c:val>
        </c:ser>
        <c:ser>
          <c:idx val="8"/>
          <c:order val="8"/>
          <c:spPr>
            <a:solidFill>
              <a:schemeClr val="accent3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Arkusz1!$AB$57:$AB$58</c:f>
              <c:numCache/>
            </c:numRef>
          </c:val>
        </c:ser>
        <c:axId val="1842388712"/>
        <c:axId val="1431184550"/>
      </c:barChart>
      <c:catAx>
        <c:axId val="18423887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>
                <a:solidFill>
                  <a:schemeClr val="dk1"/>
                </a:solidFill>
                <a:latin typeface="Arial"/>
              </a:defRPr>
            </a:pPr>
          </a:p>
        </c:txPr>
        <c:crossAx val="1431184550"/>
      </c:catAx>
      <c:valAx>
        <c:axId val="14311845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2388712"/>
      </c:valAx>
    </c:plotArea>
    <c:legend>
      <c:legendPos val="b"/>
      <c:overlay val="0"/>
      <c:txPr>
        <a:bodyPr/>
        <a:lstStyle/>
        <a:p>
          <a:pPr lvl="0">
            <a:defRPr b="1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F9900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FF9900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000000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000000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FF9900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FF9900"/>
              </a:solidFill>
              <a:ln cmpd="sng">
                <a:solidFill>
                  <a:srgbClr val="000000"/>
                </a:solidFill>
              </a:ln>
            </c:spPr>
          </c:dPt>
          <c:dPt>
            <c:idx val="6"/>
            <c:spPr>
              <a:solidFill>
                <a:srgbClr val="000000"/>
              </a:solidFill>
              <a:ln cmpd="sng">
                <a:solidFill>
                  <a:srgbClr val="000000"/>
                </a:solidFill>
              </a:ln>
            </c:spPr>
          </c:dPt>
          <c:dPt>
            <c:idx val="7"/>
            <c:spPr>
              <a:solidFill>
                <a:srgbClr val="000000"/>
              </a:solidFill>
              <a:ln cmpd="sng">
                <a:solidFill>
                  <a:srgbClr val="000000"/>
                </a:solidFill>
              </a:ln>
            </c:spPr>
          </c:dPt>
          <c:dPt>
            <c:idx val="8"/>
            <c:spPr>
              <a:solidFill>
                <a:srgbClr val="000000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Arkusz1!$D$73:$L$73</c:f>
            </c:strRef>
          </c:cat>
          <c:val>
            <c:numRef>
              <c:f>Arkusz1!$D$74:$L$74</c:f>
              <c:numCache/>
            </c:numRef>
          </c:val>
        </c:ser>
        <c:axId val="1749948112"/>
        <c:axId val="1102414183"/>
      </c:barChart>
      <c:catAx>
        <c:axId val="17499481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800">
                <a:solidFill>
                  <a:srgbClr val="000000"/>
                </a:solidFill>
                <a:latin typeface="+mn-lt"/>
              </a:defRPr>
            </a:pPr>
          </a:p>
        </c:txPr>
        <c:crossAx val="1102414183"/>
      </c:catAx>
      <c:valAx>
        <c:axId val="1102414183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800">
                <a:solidFill>
                  <a:srgbClr val="000000"/>
                </a:solidFill>
                <a:latin typeface="+mn-lt"/>
              </a:defRPr>
            </a:pPr>
          </a:p>
        </c:txPr>
        <c:crossAx val="17499481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Arkusz2!$B$2:$B$32</c:f>
            </c:strRef>
          </c:cat>
          <c:val>
            <c:numRef>
              <c:f>Arkusz2!$A$2:$A$32</c:f>
              <c:numCache/>
            </c:numRef>
          </c:val>
        </c:ser>
        <c:axId val="1360254301"/>
        <c:axId val="57938322"/>
      </c:barChart>
      <c:catAx>
        <c:axId val="13602543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938322"/>
      </c:catAx>
      <c:valAx>
        <c:axId val="579383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0254301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chart" Target="../charts/chart1.xml"/><Relationship Id="rId3" Type="http://schemas.openxmlformats.org/officeDocument/2006/relationships/chart" Target="../charts/chart2.xml"/><Relationship Id="rId4" Type="http://schemas.openxmlformats.org/officeDocument/2006/relationships/chart" Target="../charts/char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28575</xdr:colOff>
      <xdr:row>60</xdr:row>
      <xdr:rowOff>28575</xdr:rowOff>
    </xdr:from>
    <xdr:ext cx="4524375" cy="2314575"/>
    <xdr:pic>
      <xdr:nvPicPr>
        <xdr:cNvPr id="384512115" name="Chart1" title="Wykres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180975</xdr:colOff>
      <xdr:row>75</xdr:row>
      <xdr:rowOff>47625</xdr:rowOff>
    </xdr:from>
    <xdr:ext cx="12830175" cy="7324725"/>
    <xdr:graphicFrame>
      <xdr:nvGraphicFramePr>
        <xdr:cNvPr id="2" name="Chart 2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25</xdr:col>
      <xdr:colOff>419100</xdr:colOff>
      <xdr:row>122</xdr:row>
      <xdr:rowOff>142875</xdr:rowOff>
    </xdr:from>
    <xdr:ext cx="5715000" cy="3533775"/>
    <xdr:graphicFrame>
      <xdr:nvGraphicFramePr>
        <xdr:cNvPr id="3" name="Chart 3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</xdr:col>
      <xdr:colOff>123825</xdr:colOff>
      <xdr:row>116</xdr:row>
      <xdr:rowOff>57150</xdr:rowOff>
    </xdr:from>
    <xdr:ext cx="10296525" cy="6362700"/>
    <xdr:graphicFrame>
      <xdr:nvGraphicFramePr>
        <xdr:cNvPr id="4" name="Chart 4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66675</xdr:colOff>
      <xdr:row>15</xdr:row>
      <xdr:rowOff>76200</xdr:rowOff>
    </xdr:from>
    <xdr:ext cx="9420225" cy="2990850"/>
    <xdr:graphicFrame>
      <xdr:nvGraphicFramePr>
        <xdr:cNvPr id="5" name="Chart 5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9.5"/>
    <col customWidth="1" min="2" max="2" width="6.13"/>
    <col customWidth="1" min="3" max="3" width="7.13"/>
    <col customWidth="1" min="4" max="4" width="6.25"/>
    <col customWidth="1" min="5" max="13" width="6.5"/>
    <col customWidth="1" min="14" max="15" width="6.13"/>
    <col customWidth="1" min="16" max="16" width="7.63"/>
    <col customWidth="1" min="17" max="17" width="6.13"/>
    <col customWidth="1" min="18" max="18" width="7.13"/>
    <col customWidth="1" min="19" max="19" width="6.25"/>
    <col customWidth="1" min="20" max="28" width="6.63"/>
    <col customWidth="1" min="29" max="30" width="6.13"/>
    <col customWidth="1" min="31" max="31" width="7.63"/>
  </cols>
  <sheetData>
    <row r="1">
      <c r="A1" s="1"/>
      <c r="B1" s="1"/>
      <c r="C1" s="1"/>
      <c r="D1" s="1"/>
      <c r="E1" s="2" t="s">
        <v>0</v>
      </c>
      <c r="F1" s="3"/>
      <c r="G1" s="3"/>
      <c r="H1" s="3"/>
      <c r="I1" s="3"/>
      <c r="J1" s="3"/>
      <c r="K1" s="3"/>
      <c r="L1" s="3"/>
      <c r="M1" s="4"/>
      <c r="N1" s="1"/>
      <c r="O1" s="1"/>
      <c r="P1" s="1"/>
      <c r="Q1" s="1"/>
      <c r="R1" s="1"/>
      <c r="S1" s="1"/>
      <c r="T1" s="2" t="s">
        <v>1</v>
      </c>
      <c r="U1" s="3"/>
      <c r="V1" s="3"/>
      <c r="W1" s="3"/>
      <c r="X1" s="3"/>
      <c r="Y1" s="3"/>
      <c r="Z1" s="3"/>
      <c r="AA1" s="3"/>
      <c r="AB1" s="4"/>
      <c r="AC1" s="1"/>
      <c r="AD1" s="1"/>
      <c r="AE1" s="1"/>
    </row>
    <row r="2">
      <c r="A2" s="1" t="s">
        <v>2</v>
      </c>
      <c r="B2" s="1"/>
      <c r="C2" s="1"/>
      <c r="D2" s="1"/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/>
      <c r="R2" s="1"/>
      <c r="S2" s="1"/>
      <c r="T2" s="1" t="s">
        <v>3</v>
      </c>
      <c r="U2" s="1" t="s">
        <v>4</v>
      </c>
      <c r="V2" s="1" t="s">
        <v>5</v>
      </c>
      <c r="W2" s="1" t="s">
        <v>6</v>
      </c>
      <c r="X2" s="1" t="s">
        <v>7</v>
      </c>
      <c r="Y2" s="1" t="s">
        <v>8</v>
      </c>
      <c r="Z2" s="1" t="s">
        <v>9</v>
      </c>
      <c r="AA2" s="1" t="s">
        <v>10</v>
      </c>
      <c r="AB2" s="1" t="s">
        <v>11</v>
      </c>
      <c r="AC2" s="1" t="s">
        <v>12</v>
      </c>
      <c r="AD2" s="1" t="s">
        <v>13</v>
      </c>
      <c r="AE2" s="1" t="s">
        <v>14</v>
      </c>
    </row>
    <row r="3">
      <c r="A3" s="1" t="s">
        <v>15</v>
      </c>
      <c r="B3" s="1"/>
      <c r="C3" s="1"/>
      <c r="D3" s="5"/>
      <c r="E3" s="5"/>
      <c r="F3" s="5"/>
      <c r="G3" s="5"/>
      <c r="H3" s="5"/>
      <c r="I3" s="5"/>
      <c r="J3" s="5"/>
      <c r="K3" s="5"/>
      <c r="L3" s="5"/>
      <c r="M3" s="5"/>
      <c r="N3" s="1"/>
      <c r="O3" s="1"/>
      <c r="P3" s="1"/>
      <c r="Q3" s="1"/>
      <c r="R3" s="1"/>
      <c r="S3" s="5"/>
      <c r="T3" s="5"/>
      <c r="U3" s="5"/>
      <c r="V3" s="5"/>
      <c r="W3" s="5"/>
      <c r="X3" s="5"/>
      <c r="Y3" s="5"/>
      <c r="Z3" s="5"/>
      <c r="AA3" s="5"/>
      <c r="AB3" s="5"/>
      <c r="AC3" s="1"/>
      <c r="AD3" s="1"/>
      <c r="AE3" s="1"/>
    </row>
    <row r="4">
      <c r="A4" s="6" t="s">
        <v>16</v>
      </c>
      <c r="B4" s="6" t="s">
        <v>17</v>
      </c>
      <c r="C4" s="7" t="s">
        <v>18</v>
      </c>
      <c r="D4" s="1"/>
      <c r="E4" s="1">
        <v>1.0</v>
      </c>
      <c r="F4" s="1">
        <v>1.0</v>
      </c>
      <c r="G4" s="1">
        <v>1.0</v>
      </c>
      <c r="H4" s="1">
        <v>1.0</v>
      </c>
      <c r="I4" s="1">
        <v>1.0</v>
      </c>
      <c r="J4" s="1">
        <v>1.0</v>
      </c>
      <c r="K4" s="1">
        <v>1.0</v>
      </c>
      <c r="L4" s="1">
        <v>1.0</v>
      </c>
      <c r="M4" s="1">
        <v>1.0</v>
      </c>
      <c r="N4" s="8">
        <v>9.0</v>
      </c>
      <c r="O4" s="8">
        <v>9.0</v>
      </c>
      <c r="P4" s="9">
        <f t="shared" ref="P4:P7" si="1">N4/O4</f>
        <v>1</v>
      </c>
      <c r="Q4" s="6" t="s">
        <v>17</v>
      </c>
      <c r="R4" s="7" t="s">
        <v>18</v>
      </c>
      <c r="S4" s="1"/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  <c r="Z4" s="1">
        <v>0.0</v>
      </c>
      <c r="AA4" s="1">
        <v>0.0</v>
      </c>
      <c r="AB4" s="1">
        <v>0.0</v>
      </c>
      <c r="AC4" s="8">
        <v>0.0</v>
      </c>
      <c r="AD4" s="8">
        <v>9.0</v>
      </c>
      <c r="AE4" s="10">
        <f t="shared" ref="AE4:AE7" si="2">AC4/AD4</f>
        <v>0</v>
      </c>
      <c r="AF4" s="7" t="s">
        <v>18</v>
      </c>
      <c r="AG4" s="1"/>
    </row>
    <row r="5">
      <c r="A5" s="11"/>
      <c r="B5" s="11"/>
      <c r="C5" s="7" t="s">
        <v>19</v>
      </c>
      <c r="D5" s="1"/>
      <c r="E5" s="1">
        <v>1.0</v>
      </c>
      <c r="F5" s="1">
        <v>1.0</v>
      </c>
      <c r="G5" s="1">
        <v>1.0</v>
      </c>
      <c r="H5" s="1">
        <v>1.0</v>
      </c>
      <c r="I5" s="1">
        <v>1.0</v>
      </c>
      <c r="J5" s="1">
        <v>1.0</v>
      </c>
      <c r="K5" s="1">
        <v>1.0</v>
      </c>
      <c r="L5" s="1">
        <v>1.0</v>
      </c>
      <c r="M5" s="1">
        <v>1.0</v>
      </c>
      <c r="N5" s="8">
        <v>9.0</v>
      </c>
      <c r="O5" s="8">
        <v>9.0</v>
      </c>
      <c r="P5" s="9">
        <f t="shared" si="1"/>
        <v>1</v>
      </c>
      <c r="Q5" s="11"/>
      <c r="R5" s="7" t="s">
        <v>19</v>
      </c>
      <c r="S5" s="1"/>
      <c r="T5" s="1">
        <v>1.0</v>
      </c>
      <c r="U5" s="1">
        <v>0.0</v>
      </c>
      <c r="V5" s="1">
        <v>1.0</v>
      </c>
      <c r="W5" s="1">
        <v>1.0</v>
      </c>
      <c r="X5" s="1">
        <v>0.0</v>
      </c>
      <c r="Y5" s="1">
        <v>0.0</v>
      </c>
      <c r="Z5" s="1">
        <v>1.0</v>
      </c>
      <c r="AA5" s="1">
        <v>1.0</v>
      </c>
      <c r="AB5" s="1">
        <v>0.0</v>
      </c>
      <c r="AC5" s="8">
        <v>5.0</v>
      </c>
      <c r="AD5" s="8">
        <v>9.0</v>
      </c>
      <c r="AE5" s="9">
        <f t="shared" si="2"/>
        <v>0.5555555556</v>
      </c>
      <c r="AF5" s="7" t="s">
        <v>19</v>
      </c>
      <c r="AG5" s="1"/>
    </row>
    <row r="6">
      <c r="A6" s="11"/>
      <c r="B6" s="11"/>
      <c r="C6" s="7" t="s">
        <v>20</v>
      </c>
      <c r="D6" s="1"/>
      <c r="E6" s="1" t="s">
        <v>21</v>
      </c>
      <c r="F6" s="1" t="s">
        <v>21</v>
      </c>
      <c r="G6" s="1" t="s">
        <v>21</v>
      </c>
      <c r="H6" s="1" t="s">
        <v>21</v>
      </c>
      <c r="I6" s="1" t="s">
        <v>21</v>
      </c>
      <c r="J6" s="1" t="s">
        <v>21</v>
      </c>
      <c r="K6" s="1">
        <v>1.0</v>
      </c>
      <c r="L6" s="1">
        <v>1.0</v>
      </c>
      <c r="M6" s="1">
        <v>1.0</v>
      </c>
      <c r="N6" s="8">
        <v>3.0</v>
      </c>
      <c r="O6" s="8">
        <v>3.0</v>
      </c>
      <c r="P6" s="9">
        <f t="shared" si="1"/>
        <v>1</v>
      </c>
      <c r="Q6" s="11"/>
      <c r="R6" s="7" t="s">
        <v>20</v>
      </c>
      <c r="S6" s="1"/>
      <c r="T6" s="1" t="s">
        <v>21</v>
      </c>
      <c r="U6" s="1" t="s">
        <v>21</v>
      </c>
      <c r="V6" s="1" t="s">
        <v>21</v>
      </c>
      <c r="W6" s="1" t="s">
        <v>21</v>
      </c>
      <c r="X6" s="1" t="s">
        <v>21</v>
      </c>
      <c r="Y6" s="1" t="s">
        <v>21</v>
      </c>
      <c r="Z6" s="1">
        <v>0.0</v>
      </c>
      <c r="AA6" s="1">
        <v>0.0</v>
      </c>
      <c r="AB6" s="1">
        <v>0.0</v>
      </c>
      <c r="AC6" s="8">
        <v>0.0</v>
      </c>
      <c r="AD6" s="8">
        <v>3.0</v>
      </c>
      <c r="AE6" s="10">
        <f t="shared" si="2"/>
        <v>0</v>
      </c>
      <c r="AF6" s="7" t="s">
        <v>20</v>
      </c>
      <c r="AG6" s="1"/>
    </row>
    <row r="7">
      <c r="A7" s="11"/>
      <c r="B7" s="11"/>
      <c r="C7" s="7" t="s">
        <v>22</v>
      </c>
      <c r="D7" s="1"/>
      <c r="E7" s="1">
        <v>1.0</v>
      </c>
      <c r="F7" s="1">
        <v>1.0</v>
      </c>
      <c r="G7" s="1">
        <v>1.0</v>
      </c>
      <c r="H7" s="1">
        <v>1.0</v>
      </c>
      <c r="I7" s="1">
        <v>1.0</v>
      </c>
      <c r="J7" s="1">
        <v>1.0</v>
      </c>
      <c r="K7" s="1">
        <v>1.0</v>
      </c>
      <c r="L7" s="1">
        <v>1.0</v>
      </c>
      <c r="M7" s="1">
        <v>1.0</v>
      </c>
      <c r="N7" s="8">
        <v>9.0</v>
      </c>
      <c r="O7" s="8">
        <v>9.0</v>
      </c>
      <c r="P7" s="9">
        <f t="shared" si="1"/>
        <v>1</v>
      </c>
      <c r="Q7" s="11"/>
      <c r="R7" s="7" t="s">
        <v>22</v>
      </c>
      <c r="S7" s="1"/>
      <c r="T7" s="1">
        <v>1.0</v>
      </c>
      <c r="U7" s="1">
        <v>1.0</v>
      </c>
      <c r="V7" s="1">
        <v>1.0</v>
      </c>
      <c r="W7" s="1">
        <v>1.0</v>
      </c>
      <c r="X7" s="1">
        <v>1.0</v>
      </c>
      <c r="Y7" s="1">
        <v>1.0</v>
      </c>
      <c r="Z7" s="1">
        <v>1.0</v>
      </c>
      <c r="AA7" s="1">
        <v>1.0</v>
      </c>
      <c r="AB7" s="1">
        <v>1.0</v>
      </c>
      <c r="AC7" s="8">
        <v>9.0</v>
      </c>
      <c r="AD7" s="8">
        <v>9.0</v>
      </c>
      <c r="AE7" s="12">
        <f t="shared" si="2"/>
        <v>1</v>
      </c>
      <c r="AF7" s="7" t="s">
        <v>22</v>
      </c>
      <c r="AG7" s="1"/>
    </row>
    <row r="8">
      <c r="A8" s="11"/>
      <c r="B8" s="11"/>
      <c r="C8" s="7" t="s">
        <v>23</v>
      </c>
      <c r="D8" s="1"/>
      <c r="E8" s="1" t="s">
        <v>21</v>
      </c>
      <c r="F8" s="1" t="s">
        <v>21</v>
      </c>
      <c r="G8" s="1" t="s">
        <v>21</v>
      </c>
      <c r="H8" s="1" t="s">
        <v>21</v>
      </c>
      <c r="I8" s="1" t="s">
        <v>21</v>
      </c>
      <c r="J8" s="1" t="s">
        <v>21</v>
      </c>
      <c r="K8" s="1" t="s">
        <v>21</v>
      </c>
      <c r="L8" s="1" t="s">
        <v>21</v>
      </c>
      <c r="M8" s="1" t="s">
        <v>21</v>
      </c>
      <c r="N8" s="8">
        <v>0.0</v>
      </c>
      <c r="O8" s="8">
        <v>0.0</v>
      </c>
      <c r="P8" s="9"/>
      <c r="Q8" s="11"/>
      <c r="R8" s="7" t="s">
        <v>23</v>
      </c>
      <c r="S8" s="1"/>
      <c r="T8" s="1" t="s">
        <v>21</v>
      </c>
      <c r="U8" s="1" t="s">
        <v>21</v>
      </c>
      <c r="V8" s="1" t="s">
        <v>21</v>
      </c>
      <c r="W8" s="1" t="s">
        <v>21</v>
      </c>
      <c r="X8" s="1" t="s">
        <v>21</v>
      </c>
      <c r="Y8" s="1" t="s">
        <v>21</v>
      </c>
      <c r="Z8" s="1" t="s">
        <v>21</v>
      </c>
      <c r="AA8" s="1" t="s">
        <v>21</v>
      </c>
      <c r="AB8" s="1" t="s">
        <v>21</v>
      </c>
      <c r="AC8" s="8">
        <v>0.0</v>
      </c>
      <c r="AD8" s="8">
        <v>0.0</v>
      </c>
      <c r="AE8" s="1">
        <v>-1.0</v>
      </c>
      <c r="AF8" s="7" t="s">
        <v>23</v>
      </c>
      <c r="AG8" s="1"/>
    </row>
    <row r="9">
      <c r="A9" s="11"/>
      <c r="B9" s="11"/>
      <c r="C9" s="7" t="s">
        <v>24</v>
      </c>
      <c r="D9" s="1"/>
      <c r="E9" s="1">
        <v>1.0</v>
      </c>
      <c r="F9" s="1">
        <v>1.0</v>
      </c>
      <c r="G9" s="1" t="s">
        <v>21</v>
      </c>
      <c r="H9" s="1" t="s">
        <v>21</v>
      </c>
      <c r="I9" s="1" t="s">
        <v>21</v>
      </c>
      <c r="J9" s="1" t="s">
        <v>21</v>
      </c>
      <c r="K9" s="1" t="s">
        <v>21</v>
      </c>
      <c r="L9" s="1" t="s">
        <v>21</v>
      </c>
      <c r="M9" s="1" t="s">
        <v>21</v>
      </c>
      <c r="N9" s="8">
        <v>2.0</v>
      </c>
      <c r="O9" s="8">
        <v>2.0</v>
      </c>
      <c r="P9" s="9">
        <f t="shared" ref="P9:P18" si="3">N9/O9</f>
        <v>1</v>
      </c>
      <c r="Q9" s="11"/>
      <c r="R9" s="7" t="s">
        <v>24</v>
      </c>
      <c r="S9" s="1"/>
      <c r="T9" s="1">
        <v>1.0</v>
      </c>
      <c r="U9" s="1">
        <v>1.0</v>
      </c>
      <c r="V9" s="1" t="s">
        <v>21</v>
      </c>
      <c r="W9" s="1" t="s">
        <v>21</v>
      </c>
      <c r="X9" s="1" t="s">
        <v>21</v>
      </c>
      <c r="Y9" s="1" t="s">
        <v>21</v>
      </c>
      <c r="Z9" s="1" t="s">
        <v>21</v>
      </c>
      <c r="AA9" s="1" t="s">
        <v>21</v>
      </c>
      <c r="AB9" s="1" t="s">
        <v>21</v>
      </c>
      <c r="AC9" s="8">
        <v>2.0</v>
      </c>
      <c r="AD9" s="8">
        <v>2.0</v>
      </c>
      <c r="AE9" s="12">
        <f t="shared" ref="AE9:AE22" si="4">AC9/AD9</f>
        <v>1</v>
      </c>
      <c r="AF9" s="7" t="s">
        <v>24</v>
      </c>
      <c r="AG9" s="1"/>
    </row>
    <row r="10">
      <c r="A10" s="11"/>
      <c r="B10" s="11"/>
      <c r="C10" s="7" t="s">
        <v>25</v>
      </c>
      <c r="D10" s="1"/>
      <c r="E10" s="1" t="s">
        <v>21</v>
      </c>
      <c r="F10" s="1" t="s">
        <v>21</v>
      </c>
      <c r="G10" s="1">
        <v>1.0</v>
      </c>
      <c r="H10" s="1">
        <v>1.0</v>
      </c>
      <c r="I10" s="1">
        <v>1.0</v>
      </c>
      <c r="J10" s="1">
        <v>1.0</v>
      </c>
      <c r="K10" s="1">
        <v>1.0</v>
      </c>
      <c r="L10" s="1">
        <v>1.0</v>
      </c>
      <c r="M10" s="1">
        <v>1.0</v>
      </c>
      <c r="N10" s="8">
        <v>7.0</v>
      </c>
      <c r="O10" s="8">
        <v>7.0</v>
      </c>
      <c r="P10" s="9">
        <f t="shared" si="3"/>
        <v>1</v>
      </c>
      <c r="Q10" s="11"/>
      <c r="R10" s="7" t="s">
        <v>25</v>
      </c>
      <c r="S10" s="1"/>
      <c r="T10" s="1" t="s">
        <v>21</v>
      </c>
      <c r="U10" s="1" t="s">
        <v>21</v>
      </c>
      <c r="V10" s="1">
        <v>1.0</v>
      </c>
      <c r="W10" s="1">
        <v>0.0</v>
      </c>
      <c r="X10" s="1">
        <v>1.0</v>
      </c>
      <c r="Y10" s="1">
        <v>1.0</v>
      </c>
      <c r="Z10" s="1">
        <v>0.0</v>
      </c>
      <c r="AA10" s="1">
        <v>1.0</v>
      </c>
      <c r="AB10" s="1">
        <v>1.0</v>
      </c>
      <c r="AC10" s="8">
        <v>5.0</v>
      </c>
      <c r="AD10" s="8">
        <v>7.0</v>
      </c>
      <c r="AE10" s="9">
        <f t="shared" si="4"/>
        <v>0.7142857143</v>
      </c>
      <c r="AF10" s="7" t="s">
        <v>25</v>
      </c>
      <c r="AG10" s="1"/>
    </row>
    <row r="11">
      <c r="A11" s="11"/>
      <c r="B11" s="11"/>
      <c r="C11" s="7" t="s">
        <v>26</v>
      </c>
      <c r="D11" s="1"/>
      <c r="E11" s="1">
        <v>1.0</v>
      </c>
      <c r="F11" s="1">
        <v>1.0</v>
      </c>
      <c r="G11" s="1">
        <v>1.0</v>
      </c>
      <c r="H11" s="1">
        <v>1.0</v>
      </c>
      <c r="I11" s="1">
        <v>1.0</v>
      </c>
      <c r="J11" s="1">
        <v>1.0</v>
      </c>
      <c r="K11" s="1">
        <v>1.0</v>
      </c>
      <c r="L11" s="1">
        <v>1.0</v>
      </c>
      <c r="M11" s="1">
        <v>1.0</v>
      </c>
      <c r="N11" s="8">
        <v>9.0</v>
      </c>
      <c r="O11" s="8">
        <v>9.0</v>
      </c>
      <c r="P11" s="9">
        <f t="shared" si="3"/>
        <v>1</v>
      </c>
      <c r="Q11" s="11"/>
      <c r="R11" s="7" t="s">
        <v>26</v>
      </c>
      <c r="S11" s="1"/>
      <c r="T11" s="1">
        <v>1.0</v>
      </c>
      <c r="U11" s="1">
        <v>1.0</v>
      </c>
      <c r="V11" s="1">
        <v>1.0</v>
      </c>
      <c r="W11" s="1">
        <v>1.0</v>
      </c>
      <c r="X11" s="1">
        <v>1.0</v>
      </c>
      <c r="Y11" s="1">
        <v>1.0</v>
      </c>
      <c r="Z11" s="1">
        <v>1.0</v>
      </c>
      <c r="AA11" s="1">
        <v>1.0</v>
      </c>
      <c r="AB11" s="1">
        <v>1.0</v>
      </c>
      <c r="AC11" s="8">
        <v>9.0</v>
      </c>
      <c r="AD11" s="8">
        <v>9.0</v>
      </c>
      <c r="AE11" s="9">
        <f t="shared" si="4"/>
        <v>1</v>
      </c>
      <c r="AF11" s="7" t="s">
        <v>26</v>
      </c>
      <c r="AG11" s="1"/>
    </row>
    <row r="12">
      <c r="A12" s="11"/>
      <c r="B12" s="11"/>
      <c r="C12" s="7" t="s">
        <v>27</v>
      </c>
      <c r="D12" s="1"/>
      <c r="E12" s="1">
        <v>1.0</v>
      </c>
      <c r="F12" s="1">
        <v>1.0</v>
      </c>
      <c r="G12" s="1">
        <v>1.0</v>
      </c>
      <c r="H12" s="1">
        <v>1.0</v>
      </c>
      <c r="I12" s="1">
        <v>1.0</v>
      </c>
      <c r="J12" s="1">
        <v>1.0</v>
      </c>
      <c r="K12" s="1">
        <v>1.0</v>
      </c>
      <c r="L12" s="1">
        <v>1.0</v>
      </c>
      <c r="M12" s="1">
        <v>1.0</v>
      </c>
      <c r="N12" s="8">
        <v>9.0</v>
      </c>
      <c r="O12" s="8">
        <v>9.0</v>
      </c>
      <c r="P12" s="9">
        <f t="shared" si="3"/>
        <v>1</v>
      </c>
      <c r="Q12" s="11"/>
      <c r="R12" s="7" t="s">
        <v>27</v>
      </c>
      <c r="S12" s="1"/>
      <c r="T12" s="1">
        <v>0.0</v>
      </c>
      <c r="U12" s="1">
        <v>1.0</v>
      </c>
      <c r="V12" s="1">
        <v>0.0</v>
      </c>
      <c r="W12" s="1">
        <v>0.0</v>
      </c>
      <c r="X12" s="1">
        <v>1.0</v>
      </c>
      <c r="Y12" s="1">
        <v>1.0</v>
      </c>
      <c r="Z12" s="1">
        <v>1.0</v>
      </c>
      <c r="AA12" s="1">
        <v>0.0</v>
      </c>
      <c r="AB12" s="1">
        <v>0.0</v>
      </c>
      <c r="AC12" s="8">
        <v>4.0</v>
      </c>
      <c r="AD12" s="8">
        <v>9.0</v>
      </c>
      <c r="AE12" s="9">
        <f t="shared" si="4"/>
        <v>0.4444444444</v>
      </c>
      <c r="AF12" s="7" t="s">
        <v>27</v>
      </c>
      <c r="AG12" s="1"/>
    </row>
    <row r="13">
      <c r="A13" s="11"/>
      <c r="B13" s="13"/>
      <c r="C13" s="7" t="s">
        <v>28</v>
      </c>
      <c r="D13" s="1"/>
      <c r="E13" s="1">
        <v>1.0</v>
      </c>
      <c r="F13" s="1">
        <v>1.0</v>
      </c>
      <c r="G13" s="1">
        <v>1.0</v>
      </c>
      <c r="H13" s="1">
        <v>1.0</v>
      </c>
      <c r="I13" s="1">
        <v>1.0</v>
      </c>
      <c r="J13" s="1">
        <v>1.0</v>
      </c>
      <c r="K13" s="1">
        <v>1.0</v>
      </c>
      <c r="L13" s="1">
        <v>1.0</v>
      </c>
      <c r="M13" s="1">
        <v>1.0</v>
      </c>
      <c r="N13" s="8">
        <v>9.0</v>
      </c>
      <c r="O13" s="8">
        <v>9.0</v>
      </c>
      <c r="P13" s="9">
        <f t="shared" si="3"/>
        <v>1</v>
      </c>
      <c r="Q13" s="13"/>
      <c r="R13" s="7" t="s">
        <v>28</v>
      </c>
      <c r="S13" s="1"/>
      <c r="T13" s="1">
        <v>1.0</v>
      </c>
      <c r="U13" s="1">
        <v>1.0</v>
      </c>
      <c r="V13" s="1">
        <v>0.0</v>
      </c>
      <c r="W13" s="1">
        <v>1.0</v>
      </c>
      <c r="X13" s="1">
        <v>1.0</v>
      </c>
      <c r="Y13" s="1">
        <v>1.0</v>
      </c>
      <c r="Z13" s="1">
        <v>1.0</v>
      </c>
      <c r="AA13" s="1">
        <v>0.0</v>
      </c>
      <c r="AB13" s="1">
        <v>0.0</v>
      </c>
      <c r="AC13" s="8">
        <v>6.0</v>
      </c>
      <c r="AD13" s="8">
        <v>9.0</v>
      </c>
      <c r="AE13" s="9">
        <f t="shared" si="4"/>
        <v>0.6666666667</v>
      </c>
      <c r="AF13" s="7" t="s">
        <v>28</v>
      </c>
      <c r="AG13" s="1"/>
    </row>
    <row r="14">
      <c r="A14" s="11"/>
      <c r="B14" s="6" t="s">
        <v>29</v>
      </c>
      <c r="C14" s="1" t="s">
        <v>30</v>
      </c>
      <c r="D14" s="1"/>
      <c r="E14" s="1" t="s">
        <v>21</v>
      </c>
      <c r="F14" s="1" t="s">
        <v>21</v>
      </c>
      <c r="G14" s="1" t="s">
        <v>21</v>
      </c>
      <c r="H14" s="1" t="s">
        <v>21</v>
      </c>
      <c r="I14" s="1" t="s">
        <v>21</v>
      </c>
      <c r="J14" s="1">
        <v>1.0</v>
      </c>
      <c r="K14" s="1">
        <v>1.0</v>
      </c>
      <c r="L14" s="1">
        <v>1.0</v>
      </c>
      <c r="M14" s="1">
        <v>1.0</v>
      </c>
      <c r="N14" s="8">
        <v>4.0</v>
      </c>
      <c r="O14" s="8">
        <v>4.0</v>
      </c>
      <c r="P14" s="9">
        <f t="shared" si="3"/>
        <v>1</v>
      </c>
      <c r="Q14" s="6" t="s">
        <v>29</v>
      </c>
      <c r="R14" s="1" t="s">
        <v>30</v>
      </c>
      <c r="S14" s="1"/>
      <c r="T14" s="1" t="s">
        <v>21</v>
      </c>
      <c r="U14" s="1" t="s">
        <v>21</v>
      </c>
      <c r="V14" s="1" t="s">
        <v>21</v>
      </c>
      <c r="W14" s="1" t="s">
        <v>21</v>
      </c>
      <c r="X14" s="1" t="s">
        <v>21</v>
      </c>
      <c r="Y14" s="1">
        <v>0.0</v>
      </c>
      <c r="Z14" s="1">
        <v>1.0</v>
      </c>
      <c r="AA14" s="1">
        <v>0.0</v>
      </c>
      <c r="AB14" s="1">
        <v>1.0</v>
      </c>
      <c r="AC14" s="8">
        <v>2.0</v>
      </c>
      <c r="AD14" s="8">
        <v>4.0</v>
      </c>
      <c r="AE14" s="9">
        <f t="shared" si="4"/>
        <v>0.5</v>
      </c>
      <c r="AF14" s="1" t="s">
        <v>30</v>
      </c>
      <c r="AG14" s="1"/>
    </row>
    <row r="15">
      <c r="A15" s="11"/>
      <c r="B15" s="11"/>
      <c r="C15" s="1" t="s">
        <v>31</v>
      </c>
      <c r="D15" s="1"/>
      <c r="E15" s="1">
        <v>1.0</v>
      </c>
      <c r="F15" s="1">
        <v>1.0</v>
      </c>
      <c r="G15" s="1">
        <v>1.0</v>
      </c>
      <c r="H15" s="1">
        <v>1.0</v>
      </c>
      <c r="I15" s="1">
        <v>1.0</v>
      </c>
      <c r="J15" s="1">
        <v>1.0</v>
      </c>
      <c r="K15" s="1">
        <v>1.0</v>
      </c>
      <c r="L15" s="1">
        <v>1.0</v>
      </c>
      <c r="M15" s="1">
        <v>1.0</v>
      </c>
      <c r="N15" s="8">
        <v>9.0</v>
      </c>
      <c r="O15" s="8">
        <v>9.0</v>
      </c>
      <c r="P15" s="9">
        <f t="shared" si="3"/>
        <v>1</v>
      </c>
      <c r="Q15" s="11"/>
      <c r="R15" s="1" t="s">
        <v>31</v>
      </c>
      <c r="S15" s="1"/>
      <c r="T15" s="1">
        <v>1.0</v>
      </c>
      <c r="U15" s="1">
        <v>1.0</v>
      </c>
      <c r="V15" s="1">
        <v>1.0</v>
      </c>
      <c r="W15" s="1">
        <v>1.0</v>
      </c>
      <c r="X15" s="1">
        <v>1.0</v>
      </c>
      <c r="Y15" s="1">
        <v>1.0</v>
      </c>
      <c r="Z15" s="1">
        <v>1.0</v>
      </c>
      <c r="AA15" s="1">
        <v>1.0</v>
      </c>
      <c r="AB15" s="1">
        <v>0.0</v>
      </c>
      <c r="AC15" s="8">
        <v>8.0</v>
      </c>
      <c r="AD15" s="8">
        <v>9.0</v>
      </c>
      <c r="AE15" s="9">
        <f t="shared" si="4"/>
        <v>0.8888888889</v>
      </c>
      <c r="AF15" s="1" t="s">
        <v>31</v>
      </c>
      <c r="AG15" s="1"/>
    </row>
    <row r="16">
      <c r="A16" s="11"/>
      <c r="B16" s="11"/>
      <c r="C16" s="1" t="s">
        <v>32</v>
      </c>
      <c r="D16" s="1"/>
      <c r="E16" s="1">
        <v>1.0</v>
      </c>
      <c r="F16" s="1">
        <v>1.0</v>
      </c>
      <c r="G16" s="1" t="s">
        <v>21</v>
      </c>
      <c r="H16" s="1" t="s">
        <v>21</v>
      </c>
      <c r="I16" s="1" t="s">
        <v>21</v>
      </c>
      <c r="J16" s="1" t="s">
        <v>21</v>
      </c>
      <c r="K16" s="1" t="s">
        <v>21</v>
      </c>
      <c r="L16" s="1" t="s">
        <v>21</v>
      </c>
      <c r="M16" s="1" t="s">
        <v>21</v>
      </c>
      <c r="N16" s="8">
        <v>2.0</v>
      </c>
      <c r="O16" s="8">
        <v>2.0</v>
      </c>
      <c r="P16" s="9">
        <f t="shared" si="3"/>
        <v>1</v>
      </c>
      <c r="Q16" s="11"/>
      <c r="R16" s="1" t="s">
        <v>32</v>
      </c>
      <c r="S16" s="1"/>
      <c r="T16" s="1">
        <v>1.0</v>
      </c>
      <c r="U16" s="1">
        <v>1.0</v>
      </c>
      <c r="V16" s="1" t="s">
        <v>21</v>
      </c>
      <c r="W16" s="1" t="s">
        <v>21</v>
      </c>
      <c r="X16" s="1" t="s">
        <v>21</v>
      </c>
      <c r="Y16" s="1" t="s">
        <v>21</v>
      </c>
      <c r="Z16" s="1" t="s">
        <v>21</v>
      </c>
      <c r="AA16" s="1" t="s">
        <v>21</v>
      </c>
      <c r="AB16" s="1" t="s">
        <v>21</v>
      </c>
      <c r="AC16" s="8">
        <v>2.0</v>
      </c>
      <c r="AD16" s="8">
        <v>2.0</v>
      </c>
      <c r="AE16" s="12">
        <f t="shared" si="4"/>
        <v>1</v>
      </c>
      <c r="AF16" s="1" t="s">
        <v>32</v>
      </c>
      <c r="AG16" s="1"/>
    </row>
    <row r="17">
      <c r="A17" s="11"/>
      <c r="B17" s="11"/>
      <c r="C17" s="1" t="s">
        <v>33</v>
      </c>
      <c r="D17" s="1"/>
      <c r="E17" s="1" t="s">
        <v>21</v>
      </c>
      <c r="F17" s="1" t="s">
        <v>21</v>
      </c>
      <c r="G17" s="1">
        <v>1.0</v>
      </c>
      <c r="H17" s="1">
        <v>1.0</v>
      </c>
      <c r="I17" s="1">
        <v>1.0</v>
      </c>
      <c r="J17" s="1">
        <v>1.0</v>
      </c>
      <c r="K17" s="1">
        <v>1.0</v>
      </c>
      <c r="L17" s="1">
        <v>0.0</v>
      </c>
      <c r="M17" s="1">
        <v>1.0</v>
      </c>
      <c r="N17" s="8">
        <v>7.0</v>
      </c>
      <c r="O17" s="8">
        <v>7.0</v>
      </c>
      <c r="P17" s="9">
        <f t="shared" si="3"/>
        <v>1</v>
      </c>
      <c r="Q17" s="11"/>
      <c r="R17" s="1" t="s">
        <v>33</v>
      </c>
      <c r="S17" s="1"/>
      <c r="T17" s="1" t="s">
        <v>21</v>
      </c>
      <c r="U17" s="1" t="s">
        <v>21</v>
      </c>
      <c r="V17" s="1">
        <v>1.0</v>
      </c>
      <c r="W17" s="1">
        <v>1.0</v>
      </c>
      <c r="X17" s="1">
        <v>1.0</v>
      </c>
      <c r="Y17" s="1">
        <v>1.0</v>
      </c>
      <c r="Z17" s="1">
        <v>1.0</v>
      </c>
      <c r="AA17" s="1">
        <v>1.0</v>
      </c>
      <c r="AB17" s="1">
        <v>1.0</v>
      </c>
      <c r="AC17" s="8">
        <v>7.0</v>
      </c>
      <c r="AD17" s="8">
        <v>7.0</v>
      </c>
      <c r="AE17" s="12">
        <f t="shared" si="4"/>
        <v>1</v>
      </c>
      <c r="AF17" s="1" t="s">
        <v>33</v>
      </c>
      <c r="AG17" s="1"/>
    </row>
    <row r="18">
      <c r="A18" s="13"/>
      <c r="B18" s="13"/>
      <c r="C18" s="1" t="s">
        <v>34</v>
      </c>
      <c r="D18" s="1"/>
      <c r="E18" s="1">
        <v>1.0</v>
      </c>
      <c r="F18" s="1">
        <v>0.0</v>
      </c>
      <c r="G18" s="1">
        <v>1.0</v>
      </c>
      <c r="H18" s="1">
        <v>1.0</v>
      </c>
      <c r="I18" s="1">
        <v>1.0</v>
      </c>
      <c r="J18" s="1">
        <v>1.0</v>
      </c>
      <c r="K18" s="1">
        <v>1.0</v>
      </c>
      <c r="L18" s="1">
        <v>1.0</v>
      </c>
      <c r="M18" s="1">
        <v>1.0</v>
      </c>
      <c r="N18" s="8">
        <v>8.0</v>
      </c>
      <c r="O18" s="8">
        <v>9.0</v>
      </c>
      <c r="P18" s="9">
        <f t="shared" si="3"/>
        <v>0.8888888889</v>
      </c>
      <c r="Q18" s="13"/>
      <c r="R18" s="1" t="s">
        <v>34</v>
      </c>
      <c r="S18" s="1"/>
      <c r="T18" s="1">
        <v>1.0</v>
      </c>
      <c r="U18" s="1">
        <v>1.0</v>
      </c>
      <c r="V18" s="1">
        <v>1.0</v>
      </c>
      <c r="W18" s="1">
        <v>1.0</v>
      </c>
      <c r="X18" s="1">
        <v>1.0</v>
      </c>
      <c r="Y18" s="1">
        <v>1.0</v>
      </c>
      <c r="Z18" s="1">
        <v>1.0</v>
      </c>
      <c r="AA18" s="1">
        <v>1.0</v>
      </c>
      <c r="AB18" s="1">
        <v>1.0</v>
      </c>
      <c r="AC18" s="8">
        <v>9.0</v>
      </c>
      <c r="AD18" s="8">
        <v>9.0</v>
      </c>
      <c r="AE18" s="12">
        <f t="shared" si="4"/>
        <v>1</v>
      </c>
      <c r="AF18" s="1" t="s">
        <v>34</v>
      </c>
      <c r="AG18" s="1"/>
    </row>
    <row r="19">
      <c r="A19" s="1" t="s">
        <v>35</v>
      </c>
      <c r="B19" s="6" t="s">
        <v>36</v>
      </c>
      <c r="C19" s="1" t="s">
        <v>37</v>
      </c>
      <c r="D19" s="1"/>
      <c r="E19" s="1" t="s">
        <v>21</v>
      </c>
      <c r="F19" s="1" t="s">
        <v>21</v>
      </c>
      <c r="G19" s="1" t="s">
        <v>21</v>
      </c>
      <c r="H19" s="1" t="s">
        <v>21</v>
      </c>
      <c r="I19" s="1" t="s">
        <v>21</v>
      </c>
      <c r="J19" s="1" t="s">
        <v>21</v>
      </c>
      <c r="K19" s="1" t="s">
        <v>21</v>
      </c>
      <c r="L19" s="1" t="s">
        <v>21</v>
      </c>
      <c r="M19" s="1" t="s">
        <v>21</v>
      </c>
      <c r="N19" s="8">
        <v>0.0</v>
      </c>
      <c r="O19" s="8">
        <v>0.0</v>
      </c>
      <c r="P19" s="9"/>
      <c r="Q19" s="6" t="s">
        <v>36</v>
      </c>
      <c r="R19" s="1" t="s">
        <v>37</v>
      </c>
      <c r="S19" s="1"/>
      <c r="T19" s="1" t="s">
        <v>21</v>
      </c>
      <c r="U19" s="1" t="s">
        <v>21</v>
      </c>
      <c r="V19" s="1">
        <v>0.0</v>
      </c>
      <c r="W19" s="1" t="s">
        <v>21</v>
      </c>
      <c r="X19" s="1">
        <v>0.0</v>
      </c>
      <c r="Y19" s="1" t="s">
        <v>21</v>
      </c>
      <c r="Z19" s="1" t="s">
        <v>21</v>
      </c>
      <c r="AA19" s="1" t="s">
        <v>21</v>
      </c>
      <c r="AB19" s="1" t="s">
        <v>21</v>
      </c>
      <c r="AC19" s="8">
        <v>0.0</v>
      </c>
      <c r="AD19" s="8">
        <v>2.0</v>
      </c>
      <c r="AE19" s="10">
        <f t="shared" si="4"/>
        <v>0</v>
      </c>
      <c r="AF19" s="1" t="s">
        <v>37</v>
      </c>
      <c r="AG19" s="1"/>
    </row>
    <row r="20">
      <c r="A20" s="5"/>
      <c r="B20" s="11"/>
      <c r="C20" s="1" t="s">
        <v>38</v>
      </c>
      <c r="D20" s="1"/>
      <c r="E20" s="1">
        <v>1.0</v>
      </c>
      <c r="F20" s="1" t="s">
        <v>21</v>
      </c>
      <c r="G20" s="1">
        <v>1.0</v>
      </c>
      <c r="H20" s="1" t="s">
        <v>21</v>
      </c>
      <c r="I20" s="1" t="s">
        <v>21</v>
      </c>
      <c r="J20" s="1">
        <v>1.0</v>
      </c>
      <c r="K20" s="1" t="s">
        <v>21</v>
      </c>
      <c r="L20" s="1" t="s">
        <v>21</v>
      </c>
      <c r="M20" s="1" t="s">
        <v>21</v>
      </c>
      <c r="N20" s="8">
        <v>3.0</v>
      </c>
      <c r="O20" s="8">
        <v>3.0</v>
      </c>
      <c r="P20" s="9">
        <f t="shared" ref="P20:P22" si="5">N20/O20</f>
        <v>1</v>
      </c>
      <c r="Q20" s="11"/>
      <c r="R20" s="1" t="s">
        <v>38</v>
      </c>
      <c r="S20" s="1"/>
      <c r="T20" s="1">
        <v>1.0</v>
      </c>
      <c r="U20" s="1">
        <v>1.0</v>
      </c>
      <c r="V20" s="1" t="s">
        <v>21</v>
      </c>
      <c r="W20" s="1">
        <v>1.0</v>
      </c>
      <c r="X20" s="1" t="s">
        <v>21</v>
      </c>
      <c r="Y20" s="1">
        <v>1.0</v>
      </c>
      <c r="Z20" s="1">
        <v>1.0</v>
      </c>
      <c r="AA20" s="1" t="s">
        <v>21</v>
      </c>
      <c r="AB20" s="1" t="s">
        <v>21</v>
      </c>
      <c r="AC20" s="8">
        <v>5.0</v>
      </c>
      <c r="AD20" s="8">
        <v>5.0</v>
      </c>
      <c r="AE20" s="12">
        <f t="shared" si="4"/>
        <v>1</v>
      </c>
      <c r="AF20" s="1" t="s">
        <v>38</v>
      </c>
      <c r="AG20" s="1"/>
    </row>
    <row r="21">
      <c r="A21" s="5"/>
      <c r="B21" s="11"/>
      <c r="C21" s="1" t="s">
        <v>39</v>
      </c>
      <c r="D21" s="1"/>
      <c r="E21" s="1" t="s">
        <v>21</v>
      </c>
      <c r="F21" s="1">
        <v>1.0</v>
      </c>
      <c r="G21" s="1" t="s">
        <v>21</v>
      </c>
      <c r="H21" s="1">
        <v>1.0</v>
      </c>
      <c r="I21" s="1">
        <v>1.0</v>
      </c>
      <c r="J21" s="1" t="s">
        <v>21</v>
      </c>
      <c r="K21" s="1">
        <v>1.0</v>
      </c>
      <c r="L21" s="1" t="s">
        <v>21</v>
      </c>
      <c r="M21" s="1">
        <v>1.0</v>
      </c>
      <c r="N21" s="8">
        <v>5.0</v>
      </c>
      <c r="O21" s="8">
        <v>5.0</v>
      </c>
      <c r="P21" s="9">
        <f t="shared" si="5"/>
        <v>1</v>
      </c>
      <c r="Q21" s="11"/>
      <c r="R21" s="1" t="s">
        <v>39</v>
      </c>
      <c r="S21" s="1"/>
      <c r="T21" s="1" t="s">
        <v>21</v>
      </c>
      <c r="U21" s="1" t="s">
        <v>21</v>
      </c>
      <c r="V21" s="1" t="s">
        <v>21</v>
      </c>
      <c r="W21" s="1" t="s">
        <v>21</v>
      </c>
      <c r="X21" s="1" t="s">
        <v>21</v>
      </c>
      <c r="Y21" s="1" t="s">
        <v>21</v>
      </c>
      <c r="Z21" s="1" t="s">
        <v>21</v>
      </c>
      <c r="AA21" s="1" t="s">
        <v>21</v>
      </c>
      <c r="AB21" s="1">
        <v>1.0</v>
      </c>
      <c r="AC21" s="8">
        <v>1.0</v>
      </c>
      <c r="AD21" s="8">
        <v>1.0</v>
      </c>
      <c r="AE21" s="12">
        <f t="shared" si="4"/>
        <v>1</v>
      </c>
      <c r="AF21" s="1" t="s">
        <v>39</v>
      </c>
      <c r="AG21" s="1"/>
    </row>
    <row r="22">
      <c r="A22" s="5"/>
      <c r="B22" s="11"/>
      <c r="C22" s="1" t="s">
        <v>40</v>
      </c>
      <c r="D22" s="1"/>
      <c r="E22" s="1" t="s">
        <v>21</v>
      </c>
      <c r="F22" s="1" t="s">
        <v>21</v>
      </c>
      <c r="G22" s="1" t="s">
        <v>21</v>
      </c>
      <c r="H22" s="1" t="s">
        <v>21</v>
      </c>
      <c r="I22" s="1" t="s">
        <v>21</v>
      </c>
      <c r="J22" s="1" t="s">
        <v>21</v>
      </c>
      <c r="K22" s="1" t="s">
        <v>21</v>
      </c>
      <c r="L22" s="1">
        <v>1.0</v>
      </c>
      <c r="M22" s="1" t="s">
        <v>21</v>
      </c>
      <c r="N22" s="8">
        <v>1.0</v>
      </c>
      <c r="O22" s="8">
        <v>1.0</v>
      </c>
      <c r="P22" s="9">
        <f t="shared" si="5"/>
        <v>1</v>
      </c>
      <c r="Q22" s="11"/>
      <c r="R22" s="1" t="s">
        <v>40</v>
      </c>
      <c r="S22" s="1"/>
      <c r="T22" s="1" t="s">
        <v>21</v>
      </c>
      <c r="U22" s="1" t="s">
        <v>21</v>
      </c>
      <c r="V22" s="1" t="s">
        <v>21</v>
      </c>
      <c r="W22" s="1" t="s">
        <v>21</v>
      </c>
      <c r="X22" s="1" t="s">
        <v>21</v>
      </c>
      <c r="Y22" s="1" t="s">
        <v>21</v>
      </c>
      <c r="Z22" s="1" t="s">
        <v>21</v>
      </c>
      <c r="AA22" s="1">
        <v>1.0</v>
      </c>
      <c r="AB22" s="1" t="s">
        <v>21</v>
      </c>
      <c r="AC22" s="8">
        <v>1.0</v>
      </c>
      <c r="AD22" s="8">
        <v>1.0</v>
      </c>
      <c r="AE22" s="12">
        <f t="shared" si="4"/>
        <v>1</v>
      </c>
      <c r="AF22" s="1" t="s">
        <v>40</v>
      </c>
      <c r="AG22" s="1"/>
    </row>
    <row r="23">
      <c r="A23" s="5"/>
      <c r="B23" s="11"/>
      <c r="C23" s="1" t="s">
        <v>41</v>
      </c>
      <c r="D23" s="1"/>
      <c r="E23" s="1" t="s">
        <v>21</v>
      </c>
      <c r="F23" s="1" t="s">
        <v>21</v>
      </c>
      <c r="G23" s="1" t="s">
        <v>21</v>
      </c>
      <c r="H23" s="1" t="s">
        <v>21</v>
      </c>
      <c r="I23" s="1" t="s">
        <v>21</v>
      </c>
      <c r="J23" s="1" t="s">
        <v>21</v>
      </c>
      <c r="K23" s="1" t="s">
        <v>21</v>
      </c>
      <c r="L23" s="1" t="s">
        <v>21</v>
      </c>
      <c r="M23" s="1" t="s">
        <v>21</v>
      </c>
      <c r="N23" s="8">
        <v>0.0</v>
      </c>
      <c r="O23" s="8">
        <v>0.0</v>
      </c>
      <c r="P23" s="9"/>
      <c r="Q23" s="11"/>
      <c r="R23" s="1" t="s">
        <v>41</v>
      </c>
      <c r="S23" s="1"/>
      <c r="T23" s="1" t="s">
        <v>21</v>
      </c>
      <c r="U23" s="1" t="s">
        <v>21</v>
      </c>
      <c r="V23" s="1" t="s">
        <v>21</v>
      </c>
      <c r="W23" s="1" t="s">
        <v>21</v>
      </c>
      <c r="X23" s="1" t="s">
        <v>21</v>
      </c>
      <c r="Y23" s="1" t="s">
        <v>21</v>
      </c>
      <c r="Z23" s="1" t="s">
        <v>21</v>
      </c>
      <c r="AA23" s="1" t="s">
        <v>21</v>
      </c>
      <c r="AB23" s="1" t="s">
        <v>21</v>
      </c>
      <c r="AC23" s="8">
        <v>0.0</v>
      </c>
      <c r="AD23" s="8">
        <v>0.0</v>
      </c>
      <c r="AE23" s="1">
        <v>-1.0</v>
      </c>
      <c r="AF23" s="1" t="s">
        <v>41</v>
      </c>
      <c r="AG23" s="1"/>
    </row>
    <row r="24">
      <c r="A24" s="5"/>
      <c r="B24" s="13"/>
      <c r="C24" s="1" t="s">
        <v>42</v>
      </c>
      <c r="D24" s="1"/>
      <c r="E24" s="1" t="s">
        <v>21</v>
      </c>
      <c r="F24" s="1" t="s">
        <v>21</v>
      </c>
      <c r="G24" s="1" t="s">
        <v>21</v>
      </c>
      <c r="H24" s="1" t="s">
        <v>21</v>
      </c>
      <c r="I24" s="1" t="s">
        <v>21</v>
      </c>
      <c r="J24" s="1" t="s">
        <v>21</v>
      </c>
      <c r="K24" s="1" t="s">
        <v>21</v>
      </c>
      <c r="L24" s="1" t="s">
        <v>21</v>
      </c>
      <c r="M24" s="1" t="s">
        <v>21</v>
      </c>
      <c r="N24" s="8">
        <v>0.0</v>
      </c>
      <c r="O24" s="8">
        <v>0.0</v>
      </c>
      <c r="P24" s="9"/>
      <c r="Q24" s="13"/>
      <c r="R24" s="1" t="s">
        <v>42</v>
      </c>
      <c r="S24" s="1"/>
      <c r="T24" s="1" t="s">
        <v>21</v>
      </c>
      <c r="U24" s="1" t="s">
        <v>21</v>
      </c>
      <c r="V24" s="1" t="s">
        <v>21</v>
      </c>
      <c r="W24" s="1" t="s">
        <v>21</v>
      </c>
      <c r="X24" s="1" t="s">
        <v>21</v>
      </c>
      <c r="Y24" s="1" t="s">
        <v>21</v>
      </c>
      <c r="Z24" s="1" t="s">
        <v>21</v>
      </c>
      <c r="AA24" s="1" t="s">
        <v>21</v>
      </c>
      <c r="AB24" s="1" t="s">
        <v>21</v>
      </c>
      <c r="AC24" s="8">
        <v>0.0</v>
      </c>
      <c r="AD24" s="8">
        <v>0.0</v>
      </c>
      <c r="AE24" s="1">
        <v>-1.0</v>
      </c>
      <c r="AF24" s="1" t="s">
        <v>42</v>
      </c>
      <c r="AG24" s="1"/>
    </row>
    <row r="25">
      <c r="A25" s="5"/>
      <c r="B25" s="6" t="s">
        <v>43</v>
      </c>
      <c r="C25" s="1" t="s">
        <v>44</v>
      </c>
      <c r="D25" s="1"/>
      <c r="E25" s="1">
        <v>1.0</v>
      </c>
      <c r="F25" s="1">
        <v>1.0</v>
      </c>
      <c r="G25" s="1">
        <v>1.0</v>
      </c>
      <c r="H25" s="1">
        <v>1.0</v>
      </c>
      <c r="I25" s="1">
        <v>1.0</v>
      </c>
      <c r="J25" s="1">
        <v>1.0</v>
      </c>
      <c r="K25" s="1">
        <v>1.0</v>
      </c>
      <c r="L25" s="1">
        <v>1.0</v>
      </c>
      <c r="M25" s="1">
        <v>1.0</v>
      </c>
      <c r="N25" s="8">
        <v>9.0</v>
      </c>
      <c r="O25" s="8">
        <v>9.0</v>
      </c>
      <c r="P25" s="9">
        <f t="shared" ref="P25:P30" si="6">N25/O25</f>
        <v>1</v>
      </c>
      <c r="Q25" s="6" t="s">
        <v>43</v>
      </c>
      <c r="R25" s="1" t="s">
        <v>44</v>
      </c>
      <c r="S25" s="1"/>
      <c r="T25" s="1">
        <v>1.0</v>
      </c>
      <c r="U25" s="1">
        <v>1.0</v>
      </c>
      <c r="V25" s="1">
        <v>1.0</v>
      </c>
      <c r="W25" s="1">
        <v>1.0</v>
      </c>
      <c r="X25" s="1">
        <v>1.0</v>
      </c>
      <c r="Y25" s="1">
        <v>1.0</v>
      </c>
      <c r="Z25" s="1">
        <v>1.0</v>
      </c>
      <c r="AA25" s="1">
        <v>1.0</v>
      </c>
      <c r="AB25" s="1">
        <v>1.0</v>
      </c>
      <c r="AC25" s="8">
        <v>9.0</v>
      </c>
      <c r="AD25" s="8">
        <v>9.0</v>
      </c>
      <c r="AE25" s="12">
        <f t="shared" ref="AE25:AE30" si="7">AC25/AD25</f>
        <v>1</v>
      </c>
      <c r="AF25" s="1" t="s">
        <v>44</v>
      </c>
      <c r="AG25" s="1"/>
    </row>
    <row r="26">
      <c r="A26" s="5"/>
      <c r="B26" s="11"/>
      <c r="C26" s="1" t="s">
        <v>45</v>
      </c>
      <c r="D26" s="1"/>
      <c r="E26" s="1">
        <v>1.0</v>
      </c>
      <c r="F26" s="1">
        <v>1.0</v>
      </c>
      <c r="G26" s="1">
        <v>1.0</v>
      </c>
      <c r="H26" s="1">
        <v>1.0</v>
      </c>
      <c r="I26" s="1">
        <v>1.0</v>
      </c>
      <c r="J26" s="1">
        <v>1.0</v>
      </c>
      <c r="K26" s="1">
        <v>1.0</v>
      </c>
      <c r="L26" s="1">
        <v>1.0</v>
      </c>
      <c r="M26" s="1">
        <v>1.0</v>
      </c>
      <c r="N26" s="8">
        <v>9.0</v>
      </c>
      <c r="O26" s="8">
        <v>9.0</v>
      </c>
      <c r="P26" s="9">
        <f t="shared" si="6"/>
        <v>1</v>
      </c>
      <c r="Q26" s="11"/>
      <c r="R26" s="1" t="s">
        <v>45</v>
      </c>
      <c r="S26" s="1"/>
      <c r="T26" s="1">
        <v>1.0</v>
      </c>
      <c r="U26" s="1">
        <v>1.0</v>
      </c>
      <c r="V26" s="1">
        <v>1.0</v>
      </c>
      <c r="W26" s="1">
        <v>1.0</v>
      </c>
      <c r="X26" s="1">
        <v>1.0</v>
      </c>
      <c r="Y26" s="1">
        <v>1.0</v>
      </c>
      <c r="Z26" s="1">
        <v>1.0</v>
      </c>
      <c r="AA26" s="1">
        <v>1.0</v>
      </c>
      <c r="AB26" s="1">
        <v>1.0</v>
      </c>
      <c r="AC26" s="8">
        <v>9.0</v>
      </c>
      <c r="AD26" s="8">
        <v>9.0</v>
      </c>
      <c r="AE26" s="12">
        <f t="shared" si="7"/>
        <v>1</v>
      </c>
      <c r="AF26" s="1" t="s">
        <v>45</v>
      </c>
      <c r="AG26" s="1"/>
    </row>
    <row r="27">
      <c r="A27" s="5"/>
      <c r="B27" s="11"/>
      <c r="C27" s="6" t="s">
        <v>46</v>
      </c>
      <c r="D27" s="1" t="s">
        <v>47</v>
      </c>
      <c r="E27" s="1">
        <v>1.0</v>
      </c>
      <c r="F27" s="1">
        <v>1.0</v>
      </c>
      <c r="G27" s="1">
        <v>1.0</v>
      </c>
      <c r="H27" s="1">
        <v>1.0</v>
      </c>
      <c r="I27" s="1">
        <v>1.0</v>
      </c>
      <c r="J27" s="1">
        <v>1.0</v>
      </c>
      <c r="K27" s="1">
        <v>1.0</v>
      </c>
      <c r="L27" s="1">
        <v>1.0</v>
      </c>
      <c r="M27" s="1">
        <v>1.0</v>
      </c>
      <c r="N27" s="8">
        <v>9.0</v>
      </c>
      <c r="O27" s="8">
        <v>9.0</v>
      </c>
      <c r="P27" s="9">
        <f t="shared" si="6"/>
        <v>1</v>
      </c>
      <c r="Q27" s="11"/>
      <c r="R27" s="6" t="s">
        <v>46</v>
      </c>
      <c r="S27" s="1" t="s">
        <v>47</v>
      </c>
      <c r="T27" s="1">
        <v>1.0</v>
      </c>
      <c r="U27" s="1">
        <v>1.0</v>
      </c>
      <c r="V27" s="1">
        <v>1.0</v>
      </c>
      <c r="W27" s="1">
        <v>1.0</v>
      </c>
      <c r="X27" s="1">
        <v>1.0</v>
      </c>
      <c r="Y27" s="1">
        <v>1.0</v>
      </c>
      <c r="Z27" s="1">
        <v>1.0</v>
      </c>
      <c r="AA27" s="1">
        <v>1.0</v>
      </c>
      <c r="AB27" s="1">
        <v>1.0</v>
      </c>
      <c r="AC27" s="8">
        <v>9.0</v>
      </c>
      <c r="AD27" s="8">
        <v>9.0</v>
      </c>
      <c r="AE27" s="12">
        <f t="shared" si="7"/>
        <v>1</v>
      </c>
      <c r="AF27" s="1" t="s">
        <v>47</v>
      </c>
    </row>
    <row r="28">
      <c r="A28" s="5"/>
      <c r="B28" s="11"/>
      <c r="C28" s="13"/>
      <c r="D28" s="1" t="s">
        <v>48</v>
      </c>
      <c r="E28" s="1">
        <v>0.0</v>
      </c>
      <c r="F28" s="1">
        <v>1.0</v>
      </c>
      <c r="G28" s="1">
        <v>0.0</v>
      </c>
      <c r="H28" s="1">
        <v>1.0</v>
      </c>
      <c r="I28" s="1">
        <v>1.0</v>
      </c>
      <c r="J28" s="1">
        <v>0.0</v>
      </c>
      <c r="K28" s="1">
        <v>1.0</v>
      </c>
      <c r="L28" s="1">
        <v>1.0</v>
      </c>
      <c r="M28" s="1">
        <v>0.0</v>
      </c>
      <c r="N28" s="8">
        <v>5.0</v>
      </c>
      <c r="O28" s="8">
        <v>9.0</v>
      </c>
      <c r="P28" s="9">
        <f t="shared" si="6"/>
        <v>0.5555555556</v>
      </c>
      <c r="Q28" s="11"/>
      <c r="R28" s="13"/>
      <c r="S28" s="1" t="s">
        <v>48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>
        <v>0.0</v>
      </c>
      <c r="Z28" s="1">
        <v>0.0</v>
      </c>
      <c r="AA28" s="1">
        <v>1.0</v>
      </c>
      <c r="AB28" s="1">
        <v>0.0</v>
      </c>
      <c r="AC28" s="8">
        <v>1.0</v>
      </c>
      <c r="AD28" s="8">
        <v>9.0</v>
      </c>
      <c r="AE28" s="9">
        <f t="shared" si="7"/>
        <v>0.1111111111</v>
      </c>
      <c r="AF28" s="1" t="s">
        <v>48</v>
      </c>
    </row>
    <row r="29">
      <c r="A29" s="5"/>
      <c r="B29" s="11"/>
      <c r="C29" s="1" t="s">
        <v>49</v>
      </c>
      <c r="D29" s="5"/>
      <c r="E29" s="1" t="s">
        <v>21</v>
      </c>
      <c r="F29" s="1" t="s">
        <v>21</v>
      </c>
      <c r="G29" s="1" t="s">
        <v>21</v>
      </c>
      <c r="H29" s="1" t="s">
        <v>21</v>
      </c>
      <c r="I29" s="1" t="s">
        <v>21</v>
      </c>
      <c r="J29" s="1">
        <v>1.0</v>
      </c>
      <c r="K29" s="1">
        <v>1.0</v>
      </c>
      <c r="L29" s="1">
        <v>1.0</v>
      </c>
      <c r="M29" s="1">
        <v>1.0</v>
      </c>
      <c r="N29" s="8">
        <v>4.0</v>
      </c>
      <c r="O29" s="8">
        <v>4.0</v>
      </c>
      <c r="P29" s="9">
        <f t="shared" si="6"/>
        <v>1</v>
      </c>
      <c r="Q29" s="11"/>
      <c r="R29" s="1" t="s">
        <v>49</v>
      </c>
      <c r="S29" s="5"/>
      <c r="T29" s="1" t="s">
        <v>21</v>
      </c>
      <c r="U29" s="1" t="s">
        <v>21</v>
      </c>
      <c r="V29" s="1" t="s">
        <v>21</v>
      </c>
      <c r="W29" s="1" t="s">
        <v>21</v>
      </c>
      <c r="X29" s="1" t="s">
        <v>21</v>
      </c>
      <c r="Y29" s="1">
        <v>1.0</v>
      </c>
      <c r="Z29" s="1">
        <v>1.0</v>
      </c>
      <c r="AA29" s="1">
        <v>1.0</v>
      </c>
      <c r="AB29" s="1">
        <v>1.0</v>
      </c>
      <c r="AC29" s="8">
        <v>4.0</v>
      </c>
      <c r="AD29" s="8">
        <v>4.0</v>
      </c>
      <c r="AE29" s="12">
        <f t="shared" si="7"/>
        <v>1</v>
      </c>
      <c r="AF29" s="1" t="s">
        <v>49</v>
      </c>
      <c r="AG29" s="5"/>
    </row>
    <row r="30">
      <c r="A30" s="5"/>
      <c r="B30" s="11"/>
      <c r="C30" s="1" t="s">
        <v>50</v>
      </c>
      <c r="D30" s="5"/>
      <c r="E30" s="1" t="s">
        <v>21</v>
      </c>
      <c r="F30" s="1" t="s">
        <v>21</v>
      </c>
      <c r="G30" s="1" t="s">
        <v>21</v>
      </c>
      <c r="H30" s="1" t="s">
        <v>21</v>
      </c>
      <c r="I30" s="1" t="s">
        <v>21</v>
      </c>
      <c r="J30" s="1">
        <v>1.0</v>
      </c>
      <c r="K30" s="1">
        <v>1.0</v>
      </c>
      <c r="L30" s="1">
        <v>1.0</v>
      </c>
      <c r="M30" s="1">
        <v>1.0</v>
      </c>
      <c r="N30" s="8">
        <v>4.0</v>
      </c>
      <c r="O30" s="8">
        <v>4.0</v>
      </c>
      <c r="P30" s="9">
        <f t="shared" si="6"/>
        <v>1</v>
      </c>
      <c r="Q30" s="11"/>
      <c r="R30" s="1" t="s">
        <v>50</v>
      </c>
      <c r="S30" s="5"/>
      <c r="T30" s="1" t="s">
        <v>21</v>
      </c>
      <c r="U30" s="1" t="s">
        <v>21</v>
      </c>
      <c r="V30" s="1" t="s">
        <v>21</v>
      </c>
      <c r="W30" s="1" t="s">
        <v>21</v>
      </c>
      <c r="X30" s="1" t="s">
        <v>21</v>
      </c>
      <c r="Y30" s="1">
        <v>1.0</v>
      </c>
      <c r="Z30" s="1">
        <v>1.0</v>
      </c>
      <c r="AA30" s="1">
        <v>1.0</v>
      </c>
      <c r="AB30" s="1">
        <v>1.0</v>
      </c>
      <c r="AC30" s="8">
        <v>4.0</v>
      </c>
      <c r="AD30" s="8">
        <v>4.0</v>
      </c>
      <c r="AE30" s="12">
        <f t="shared" si="7"/>
        <v>1</v>
      </c>
      <c r="AF30" s="1" t="s">
        <v>50</v>
      </c>
      <c r="AG30" s="5"/>
    </row>
    <row r="31">
      <c r="A31" s="5"/>
      <c r="B31" s="11"/>
      <c r="C31" s="1" t="s">
        <v>51</v>
      </c>
      <c r="D31" s="5"/>
      <c r="E31" s="1" t="s">
        <v>21</v>
      </c>
      <c r="F31" s="1" t="s">
        <v>21</v>
      </c>
      <c r="G31" s="1" t="s">
        <v>21</v>
      </c>
      <c r="H31" s="1" t="s">
        <v>21</v>
      </c>
      <c r="I31" s="1" t="s">
        <v>21</v>
      </c>
      <c r="J31" s="1" t="s">
        <v>21</v>
      </c>
      <c r="K31" s="1" t="s">
        <v>21</v>
      </c>
      <c r="L31" s="1" t="s">
        <v>21</v>
      </c>
      <c r="M31" s="1" t="s">
        <v>21</v>
      </c>
      <c r="N31" s="8">
        <v>0.0</v>
      </c>
      <c r="O31" s="8">
        <v>0.0</v>
      </c>
      <c r="P31" s="9"/>
      <c r="Q31" s="11"/>
      <c r="R31" s="1" t="s">
        <v>51</v>
      </c>
      <c r="S31" s="5"/>
      <c r="T31" s="1" t="s">
        <v>21</v>
      </c>
      <c r="U31" s="1" t="s">
        <v>21</v>
      </c>
      <c r="V31" s="1" t="s">
        <v>21</v>
      </c>
      <c r="W31" s="1" t="s">
        <v>21</v>
      </c>
      <c r="X31" s="1" t="s">
        <v>21</v>
      </c>
      <c r="Y31" s="1" t="s">
        <v>21</v>
      </c>
      <c r="Z31" s="1" t="s">
        <v>21</v>
      </c>
      <c r="AA31" s="1" t="s">
        <v>21</v>
      </c>
      <c r="AB31" s="1" t="s">
        <v>21</v>
      </c>
      <c r="AC31" s="8">
        <v>0.0</v>
      </c>
      <c r="AD31" s="8">
        <v>0.0</v>
      </c>
      <c r="AE31" s="1">
        <v>-1.0</v>
      </c>
      <c r="AF31" s="1" t="s">
        <v>51</v>
      </c>
      <c r="AG31" s="5"/>
    </row>
    <row r="32">
      <c r="A32" s="5"/>
      <c r="B32" s="13"/>
      <c r="C32" s="1" t="s">
        <v>52</v>
      </c>
      <c r="D32" s="5"/>
      <c r="E32" s="1" t="s">
        <v>21</v>
      </c>
      <c r="F32" s="1" t="s">
        <v>21</v>
      </c>
      <c r="G32" s="1" t="s">
        <v>21</v>
      </c>
      <c r="H32" s="1" t="s">
        <v>21</v>
      </c>
      <c r="I32" s="1" t="s">
        <v>21</v>
      </c>
      <c r="J32" s="1" t="s">
        <v>21</v>
      </c>
      <c r="K32" s="1" t="s">
        <v>21</v>
      </c>
      <c r="L32" s="1" t="s">
        <v>21</v>
      </c>
      <c r="M32" s="1" t="s">
        <v>21</v>
      </c>
      <c r="N32" s="8">
        <v>0.0</v>
      </c>
      <c r="O32" s="8">
        <v>0.0</v>
      </c>
      <c r="P32" s="9"/>
      <c r="Q32" s="13"/>
      <c r="R32" s="1" t="s">
        <v>52</v>
      </c>
      <c r="S32" s="5"/>
      <c r="T32" s="1" t="s">
        <v>21</v>
      </c>
      <c r="U32" s="1" t="s">
        <v>21</v>
      </c>
      <c r="V32" s="1" t="s">
        <v>21</v>
      </c>
      <c r="W32" s="1" t="s">
        <v>21</v>
      </c>
      <c r="X32" s="1" t="s">
        <v>21</v>
      </c>
      <c r="Y32" s="1" t="s">
        <v>21</v>
      </c>
      <c r="Z32" s="1" t="s">
        <v>21</v>
      </c>
      <c r="AA32" s="1" t="s">
        <v>21</v>
      </c>
      <c r="AB32" s="1" t="s">
        <v>21</v>
      </c>
      <c r="AC32" s="8">
        <v>0.0</v>
      </c>
      <c r="AD32" s="8">
        <v>0.0</v>
      </c>
      <c r="AE32" s="1">
        <v>-1.0</v>
      </c>
      <c r="AF32" s="1" t="s">
        <v>52</v>
      </c>
      <c r="AG32" s="5"/>
    </row>
    <row r="33">
      <c r="A33" s="1" t="s">
        <v>53</v>
      </c>
      <c r="B33" s="6" t="s">
        <v>54</v>
      </c>
      <c r="C33" s="1" t="s">
        <v>55</v>
      </c>
      <c r="D33" s="5"/>
      <c r="E33" s="1">
        <v>1.0</v>
      </c>
      <c r="F33" s="1">
        <v>1.0</v>
      </c>
      <c r="G33" s="1">
        <v>1.0</v>
      </c>
      <c r="H33" s="1">
        <v>1.0</v>
      </c>
      <c r="I33" s="1">
        <v>1.0</v>
      </c>
      <c r="J33" s="1">
        <v>1.0</v>
      </c>
      <c r="K33" s="1">
        <v>1.0</v>
      </c>
      <c r="L33" s="1">
        <v>1.0</v>
      </c>
      <c r="M33" s="1">
        <v>1.0</v>
      </c>
      <c r="N33" s="8">
        <v>9.0</v>
      </c>
      <c r="O33" s="8">
        <v>9.0</v>
      </c>
      <c r="P33" s="9">
        <f>N33/O33</f>
        <v>1</v>
      </c>
      <c r="Q33" s="6" t="s">
        <v>54</v>
      </c>
      <c r="R33" s="1" t="s">
        <v>55</v>
      </c>
      <c r="S33" s="5"/>
      <c r="T33" s="1">
        <v>0.0</v>
      </c>
      <c r="U33" s="1">
        <v>0.0</v>
      </c>
      <c r="V33" s="1">
        <v>0.0</v>
      </c>
      <c r="W33" s="1">
        <v>0.0</v>
      </c>
      <c r="X33" s="1">
        <v>0.0</v>
      </c>
      <c r="Y33" s="1">
        <v>0.0</v>
      </c>
      <c r="Z33" s="1">
        <v>0.0</v>
      </c>
      <c r="AA33" s="1">
        <v>0.0</v>
      </c>
      <c r="AB33" s="1">
        <v>0.0</v>
      </c>
      <c r="AC33" s="8">
        <v>0.0</v>
      </c>
      <c r="AD33" s="8">
        <v>9.0</v>
      </c>
      <c r="AE33" s="10">
        <f>AC33/AD33</f>
        <v>0</v>
      </c>
      <c r="AF33" s="1" t="s">
        <v>55</v>
      </c>
      <c r="AG33" s="5"/>
    </row>
    <row r="34">
      <c r="A34" s="5"/>
      <c r="B34" s="11"/>
      <c r="C34" s="1" t="s">
        <v>56</v>
      </c>
      <c r="D34" s="5"/>
      <c r="E34" s="1" t="s">
        <v>21</v>
      </c>
      <c r="F34" s="1" t="s">
        <v>21</v>
      </c>
      <c r="G34" s="1" t="s">
        <v>21</v>
      </c>
      <c r="H34" s="1" t="s">
        <v>21</v>
      </c>
      <c r="I34" s="1" t="s">
        <v>21</v>
      </c>
      <c r="J34" s="1" t="s">
        <v>21</v>
      </c>
      <c r="K34" s="1" t="s">
        <v>21</v>
      </c>
      <c r="L34" s="1" t="s">
        <v>21</v>
      </c>
      <c r="M34" s="1" t="s">
        <v>21</v>
      </c>
      <c r="N34" s="8">
        <v>0.0</v>
      </c>
      <c r="O34" s="8">
        <v>0.0</v>
      </c>
      <c r="P34" s="9"/>
      <c r="Q34" s="11"/>
      <c r="R34" s="1" t="s">
        <v>56</v>
      </c>
      <c r="S34" s="5"/>
      <c r="T34" s="1" t="s">
        <v>21</v>
      </c>
      <c r="U34" s="1" t="s">
        <v>21</v>
      </c>
      <c r="V34" s="1" t="s">
        <v>21</v>
      </c>
      <c r="W34" s="1" t="s">
        <v>21</v>
      </c>
      <c r="X34" s="1" t="s">
        <v>21</v>
      </c>
      <c r="Y34" s="1" t="s">
        <v>21</v>
      </c>
      <c r="Z34" s="1" t="s">
        <v>21</v>
      </c>
      <c r="AA34" s="1" t="s">
        <v>21</v>
      </c>
      <c r="AB34" s="1" t="s">
        <v>21</v>
      </c>
      <c r="AC34" s="8">
        <v>0.0</v>
      </c>
      <c r="AD34" s="8">
        <v>0.0</v>
      </c>
      <c r="AE34" s="1">
        <v>-1.0</v>
      </c>
      <c r="AF34" s="1" t="s">
        <v>56</v>
      </c>
      <c r="AG34" s="5"/>
    </row>
    <row r="35">
      <c r="A35" s="5"/>
      <c r="B35" s="13"/>
      <c r="C35" s="1" t="s">
        <v>57</v>
      </c>
      <c r="D35" s="5"/>
      <c r="E35" s="1" t="s">
        <v>21</v>
      </c>
      <c r="F35" s="1" t="s">
        <v>21</v>
      </c>
      <c r="G35" s="1" t="s">
        <v>21</v>
      </c>
      <c r="H35" s="1" t="s">
        <v>21</v>
      </c>
      <c r="I35" s="1" t="s">
        <v>21</v>
      </c>
      <c r="J35" s="1" t="s">
        <v>21</v>
      </c>
      <c r="K35" s="1">
        <v>1.0</v>
      </c>
      <c r="L35" s="1">
        <v>1.0</v>
      </c>
      <c r="M35" s="1">
        <v>1.0</v>
      </c>
      <c r="N35" s="8">
        <v>3.0</v>
      </c>
      <c r="O35" s="8">
        <v>3.0</v>
      </c>
      <c r="P35" s="9">
        <f t="shared" ref="P35:P40" si="8">N35/O35</f>
        <v>1</v>
      </c>
      <c r="Q35" s="13"/>
      <c r="R35" s="1" t="s">
        <v>57</v>
      </c>
      <c r="S35" s="5"/>
      <c r="T35" s="1" t="s">
        <v>21</v>
      </c>
      <c r="U35" s="1" t="s">
        <v>21</v>
      </c>
      <c r="V35" s="1" t="s">
        <v>21</v>
      </c>
      <c r="W35" s="1" t="s">
        <v>21</v>
      </c>
      <c r="X35" s="1" t="s">
        <v>21</v>
      </c>
      <c r="Y35" s="1" t="s">
        <v>21</v>
      </c>
      <c r="Z35" s="1">
        <v>1.0</v>
      </c>
      <c r="AA35" s="1">
        <v>1.0</v>
      </c>
      <c r="AB35" s="1">
        <v>1.0</v>
      </c>
      <c r="AC35" s="8">
        <v>3.0</v>
      </c>
      <c r="AD35" s="8">
        <v>3.0</v>
      </c>
      <c r="AE35" s="12">
        <f t="shared" ref="AE35:AE37" si="9">AC35/AD35</f>
        <v>1</v>
      </c>
      <c r="AF35" s="1" t="s">
        <v>57</v>
      </c>
      <c r="AG35" s="5"/>
    </row>
    <row r="36">
      <c r="A36" s="5"/>
      <c r="B36" s="6" t="s">
        <v>58</v>
      </c>
      <c r="C36" s="1" t="s">
        <v>59</v>
      </c>
      <c r="D36" s="5"/>
      <c r="E36" s="1">
        <v>1.0</v>
      </c>
      <c r="F36" s="1">
        <v>1.0</v>
      </c>
      <c r="G36" s="1">
        <v>1.0</v>
      </c>
      <c r="H36" s="1">
        <v>1.0</v>
      </c>
      <c r="I36" s="1">
        <v>1.0</v>
      </c>
      <c r="J36" s="1">
        <v>1.0</v>
      </c>
      <c r="K36" s="1">
        <v>1.0</v>
      </c>
      <c r="L36" s="1">
        <v>1.0</v>
      </c>
      <c r="M36" s="1">
        <v>1.0</v>
      </c>
      <c r="N36" s="8">
        <v>9.0</v>
      </c>
      <c r="O36" s="8">
        <v>9.0</v>
      </c>
      <c r="P36" s="9">
        <f t="shared" si="8"/>
        <v>1</v>
      </c>
      <c r="Q36" s="6" t="s">
        <v>58</v>
      </c>
      <c r="R36" s="1" t="s">
        <v>59</v>
      </c>
      <c r="S36" s="5"/>
      <c r="T36" s="1">
        <v>1.0</v>
      </c>
      <c r="U36" s="1">
        <v>1.0</v>
      </c>
      <c r="V36" s="1">
        <v>1.0</v>
      </c>
      <c r="W36" s="1">
        <v>1.0</v>
      </c>
      <c r="X36" s="1">
        <v>1.0</v>
      </c>
      <c r="Y36" s="1">
        <v>1.0</v>
      </c>
      <c r="Z36" s="1">
        <v>1.0</v>
      </c>
      <c r="AA36" s="1">
        <v>1.0</v>
      </c>
      <c r="AB36" s="1">
        <v>1.0</v>
      </c>
      <c r="AC36" s="8">
        <v>9.0</v>
      </c>
      <c r="AD36" s="8">
        <v>9.0</v>
      </c>
      <c r="AE36" s="12">
        <f t="shared" si="9"/>
        <v>1</v>
      </c>
      <c r="AF36" s="1" t="s">
        <v>59</v>
      </c>
      <c r="AG36" s="5"/>
    </row>
    <row r="37">
      <c r="A37" s="5"/>
      <c r="B37" s="13"/>
      <c r="C37" s="1" t="s">
        <v>60</v>
      </c>
      <c r="D37" s="5"/>
      <c r="E37" s="1">
        <v>1.0</v>
      </c>
      <c r="F37" s="1">
        <v>1.0</v>
      </c>
      <c r="G37" s="1">
        <v>1.0</v>
      </c>
      <c r="H37" s="1">
        <v>1.0</v>
      </c>
      <c r="I37" s="1">
        <v>1.0</v>
      </c>
      <c r="J37" s="1">
        <v>1.0</v>
      </c>
      <c r="K37" s="1">
        <v>1.0</v>
      </c>
      <c r="L37" s="1">
        <v>1.0</v>
      </c>
      <c r="M37" s="1">
        <v>1.0</v>
      </c>
      <c r="N37" s="8">
        <v>9.0</v>
      </c>
      <c r="O37" s="8">
        <v>9.0</v>
      </c>
      <c r="P37" s="9">
        <f t="shared" si="8"/>
        <v>1</v>
      </c>
      <c r="Q37" s="13"/>
      <c r="R37" s="1" t="s">
        <v>60</v>
      </c>
      <c r="S37" s="5"/>
      <c r="T37" s="1">
        <v>0.0</v>
      </c>
      <c r="U37" s="1">
        <v>0.0</v>
      </c>
      <c r="V37" s="1">
        <v>1.0</v>
      </c>
      <c r="W37" s="1">
        <v>1.0</v>
      </c>
      <c r="X37" s="1">
        <v>0.0</v>
      </c>
      <c r="Y37" s="1">
        <v>1.0</v>
      </c>
      <c r="Z37" s="1">
        <v>1.0</v>
      </c>
      <c r="AA37" s="1">
        <v>1.0</v>
      </c>
      <c r="AB37" s="1">
        <v>0.0</v>
      </c>
      <c r="AC37" s="8">
        <v>5.0</v>
      </c>
      <c r="AD37" s="8">
        <v>9.0</v>
      </c>
      <c r="AE37" s="9">
        <f t="shared" si="9"/>
        <v>0.5555555556</v>
      </c>
      <c r="AF37" s="1" t="s">
        <v>60</v>
      </c>
      <c r="AG37" s="5"/>
    </row>
    <row r="38">
      <c r="A38" s="5"/>
      <c r="B38" s="6" t="s">
        <v>61</v>
      </c>
      <c r="C38" s="1" t="s">
        <v>62</v>
      </c>
      <c r="D38" s="5"/>
      <c r="E38" s="1">
        <v>1.0</v>
      </c>
      <c r="F38" s="1">
        <v>1.0</v>
      </c>
      <c r="G38" s="1">
        <v>1.0</v>
      </c>
      <c r="H38" s="1">
        <v>1.0</v>
      </c>
      <c r="I38" s="1">
        <v>1.0</v>
      </c>
      <c r="J38" s="1">
        <v>1.0</v>
      </c>
      <c r="K38" s="1">
        <v>1.0</v>
      </c>
      <c r="L38" s="1">
        <v>1.0</v>
      </c>
      <c r="M38" s="1">
        <v>1.0</v>
      </c>
      <c r="N38" s="8">
        <v>9.0</v>
      </c>
      <c r="O38" s="8">
        <v>9.0</v>
      </c>
      <c r="P38" s="9">
        <f t="shared" si="8"/>
        <v>1</v>
      </c>
      <c r="Q38" s="6" t="s">
        <v>61</v>
      </c>
      <c r="R38" s="1" t="s">
        <v>62</v>
      </c>
      <c r="S38" s="5"/>
      <c r="T38" s="1">
        <v>0.0</v>
      </c>
      <c r="U38" s="1">
        <v>0.0</v>
      </c>
      <c r="V38" s="1">
        <v>0.0</v>
      </c>
      <c r="W38" s="1">
        <v>0.0</v>
      </c>
      <c r="X38" s="1">
        <v>0.0</v>
      </c>
      <c r="Y38" s="1">
        <v>0.0</v>
      </c>
      <c r="Z38" s="1">
        <v>0.0</v>
      </c>
      <c r="AA38" s="1">
        <v>0.0</v>
      </c>
      <c r="AB38" s="1">
        <v>0.0</v>
      </c>
      <c r="AC38" s="8">
        <v>0.0</v>
      </c>
      <c r="AD38" s="8">
        <v>9.0</v>
      </c>
      <c r="AE38" s="1">
        <v>-1.0</v>
      </c>
      <c r="AF38" s="1" t="s">
        <v>62</v>
      </c>
      <c r="AG38" s="5"/>
    </row>
    <row r="39">
      <c r="A39" s="5"/>
      <c r="B39" s="13"/>
      <c r="C39" s="1" t="s">
        <v>63</v>
      </c>
      <c r="D39" s="5"/>
      <c r="E39" s="1" t="s">
        <v>21</v>
      </c>
      <c r="F39" s="1" t="s">
        <v>21</v>
      </c>
      <c r="G39" s="1" t="s">
        <v>21</v>
      </c>
      <c r="H39" s="1">
        <v>1.0</v>
      </c>
      <c r="I39" s="1">
        <v>1.0</v>
      </c>
      <c r="J39" s="1" t="s">
        <v>21</v>
      </c>
      <c r="K39" s="1">
        <v>1.0</v>
      </c>
      <c r="L39" s="1">
        <v>0.0</v>
      </c>
      <c r="M39" s="1" t="s">
        <v>21</v>
      </c>
      <c r="N39" s="8">
        <v>3.0</v>
      </c>
      <c r="O39" s="8">
        <v>4.0</v>
      </c>
      <c r="P39" s="9">
        <f t="shared" si="8"/>
        <v>0.75</v>
      </c>
      <c r="Q39" s="13"/>
      <c r="R39" s="1" t="s">
        <v>63</v>
      </c>
      <c r="S39" s="5"/>
      <c r="T39" s="1" t="s">
        <v>21</v>
      </c>
      <c r="U39" s="1" t="s">
        <v>21</v>
      </c>
      <c r="V39" s="1" t="s">
        <v>21</v>
      </c>
      <c r="W39" s="1" t="s">
        <v>21</v>
      </c>
      <c r="X39" s="1" t="s">
        <v>21</v>
      </c>
      <c r="Y39" s="1" t="s">
        <v>21</v>
      </c>
      <c r="Z39" s="1" t="s">
        <v>21</v>
      </c>
      <c r="AA39" s="1" t="s">
        <v>21</v>
      </c>
      <c r="AB39" s="1" t="s">
        <v>21</v>
      </c>
      <c r="AC39" s="8">
        <v>0.0</v>
      </c>
      <c r="AD39" s="8">
        <v>0.0</v>
      </c>
      <c r="AE39" s="1" t="s">
        <v>21</v>
      </c>
      <c r="AF39" s="1" t="s">
        <v>63</v>
      </c>
      <c r="AG39" s="5"/>
    </row>
    <row r="40">
      <c r="A40" s="5"/>
      <c r="B40" s="6" t="s">
        <v>64</v>
      </c>
      <c r="C40" s="1" t="s">
        <v>65</v>
      </c>
      <c r="D40" s="5"/>
      <c r="E40" s="1" t="s">
        <v>21</v>
      </c>
      <c r="F40" s="1" t="s">
        <v>21</v>
      </c>
      <c r="G40" s="1">
        <v>1.0</v>
      </c>
      <c r="H40" s="1">
        <v>1.0</v>
      </c>
      <c r="I40" s="1">
        <v>1.0</v>
      </c>
      <c r="J40" s="1">
        <v>1.0</v>
      </c>
      <c r="K40" s="1">
        <v>1.0</v>
      </c>
      <c r="L40" s="1">
        <v>1.0</v>
      </c>
      <c r="M40" s="1">
        <v>1.0</v>
      </c>
      <c r="N40" s="8">
        <v>7.0</v>
      </c>
      <c r="O40" s="8">
        <v>7.0</v>
      </c>
      <c r="P40" s="9">
        <f t="shared" si="8"/>
        <v>1</v>
      </c>
      <c r="Q40" s="6" t="s">
        <v>64</v>
      </c>
      <c r="R40" s="1" t="s">
        <v>65</v>
      </c>
      <c r="S40" s="5"/>
      <c r="T40" s="1" t="s">
        <v>21</v>
      </c>
      <c r="U40" s="1" t="s">
        <v>21</v>
      </c>
      <c r="V40" s="1">
        <v>0.0</v>
      </c>
      <c r="W40" s="1">
        <v>0.0</v>
      </c>
      <c r="X40" s="1">
        <v>0.0</v>
      </c>
      <c r="Y40" s="1">
        <v>1.0</v>
      </c>
      <c r="Z40" s="1">
        <v>1.0</v>
      </c>
      <c r="AA40" s="1">
        <v>0.0</v>
      </c>
      <c r="AB40" s="1">
        <v>0.0</v>
      </c>
      <c r="AC40" s="8">
        <v>2.0</v>
      </c>
      <c r="AD40" s="8">
        <v>7.0</v>
      </c>
      <c r="AE40" s="9">
        <f>AC40/AD40</f>
        <v>0.2857142857</v>
      </c>
      <c r="AF40" s="1" t="s">
        <v>65</v>
      </c>
      <c r="AG40" s="5"/>
    </row>
    <row r="41">
      <c r="A41" s="5"/>
      <c r="B41" s="11"/>
      <c r="C41" s="1" t="s">
        <v>66</v>
      </c>
      <c r="D41" s="5"/>
      <c r="E41" s="1" t="s">
        <v>21</v>
      </c>
      <c r="F41" s="1" t="s">
        <v>21</v>
      </c>
      <c r="G41" s="1" t="s">
        <v>21</v>
      </c>
      <c r="H41" s="1" t="s">
        <v>21</v>
      </c>
      <c r="I41" s="1" t="s">
        <v>21</v>
      </c>
      <c r="J41" s="1" t="s">
        <v>21</v>
      </c>
      <c r="K41" s="1" t="s">
        <v>21</v>
      </c>
      <c r="L41" s="1" t="s">
        <v>21</v>
      </c>
      <c r="M41" s="1" t="s">
        <v>21</v>
      </c>
      <c r="N41" s="8">
        <v>0.0</v>
      </c>
      <c r="O41" s="8">
        <v>0.0</v>
      </c>
      <c r="P41" s="9"/>
      <c r="Q41" s="11"/>
      <c r="R41" s="1" t="s">
        <v>66</v>
      </c>
      <c r="S41" s="5"/>
      <c r="T41" s="1" t="s">
        <v>21</v>
      </c>
      <c r="U41" s="1" t="s">
        <v>21</v>
      </c>
      <c r="V41" s="1" t="s">
        <v>21</v>
      </c>
      <c r="W41" s="1" t="s">
        <v>21</v>
      </c>
      <c r="X41" s="1" t="s">
        <v>21</v>
      </c>
      <c r="Y41" s="1" t="s">
        <v>21</v>
      </c>
      <c r="Z41" s="1" t="s">
        <v>21</v>
      </c>
      <c r="AA41" s="1" t="s">
        <v>21</v>
      </c>
      <c r="AB41" s="1" t="s">
        <v>21</v>
      </c>
      <c r="AC41" s="8">
        <v>0.0</v>
      </c>
      <c r="AD41" s="8">
        <v>0.0</v>
      </c>
      <c r="AE41" s="1">
        <v>-1.0</v>
      </c>
      <c r="AF41" s="1" t="s">
        <v>66</v>
      </c>
      <c r="AG41" s="5"/>
    </row>
    <row r="42">
      <c r="A42" s="5"/>
      <c r="B42" s="13"/>
      <c r="C42" s="1" t="s">
        <v>67</v>
      </c>
      <c r="D42" s="5"/>
      <c r="E42" s="1">
        <v>1.0</v>
      </c>
      <c r="F42" s="1">
        <v>1.0</v>
      </c>
      <c r="G42" s="1">
        <v>1.0</v>
      </c>
      <c r="H42" s="1">
        <v>1.0</v>
      </c>
      <c r="I42" s="1">
        <v>1.0</v>
      </c>
      <c r="J42" s="1">
        <v>1.0</v>
      </c>
      <c r="K42" s="1">
        <v>1.0</v>
      </c>
      <c r="L42" s="1">
        <v>1.0</v>
      </c>
      <c r="M42" s="1">
        <v>1.0</v>
      </c>
      <c r="N42" s="8">
        <v>9.0</v>
      </c>
      <c r="O42" s="8">
        <v>9.0</v>
      </c>
      <c r="P42" s="9">
        <f t="shared" ref="P42:P43" si="10">N42/O42</f>
        <v>1</v>
      </c>
      <c r="Q42" s="13"/>
      <c r="R42" s="1" t="s">
        <v>67</v>
      </c>
      <c r="S42" s="5"/>
      <c r="T42" s="1">
        <v>1.0</v>
      </c>
      <c r="U42" s="1">
        <v>0.0</v>
      </c>
      <c r="V42" s="1">
        <v>1.0</v>
      </c>
      <c r="W42" s="1">
        <v>1.0</v>
      </c>
      <c r="X42" s="1">
        <v>0.0</v>
      </c>
      <c r="Y42" s="1">
        <v>0.0</v>
      </c>
      <c r="Z42" s="1">
        <v>1.0</v>
      </c>
      <c r="AA42" s="1">
        <v>1.0</v>
      </c>
      <c r="AB42" s="1">
        <v>1.0</v>
      </c>
      <c r="AC42" s="8">
        <v>6.0</v>
      </c>
      <c r="AD42" s="8">
        <v>9.0</v>
      </c>
      <c r="AE42" s="9">
        <f t="shared" ref="AE42:AE43" si="11">AC42/AD42</f>
        <v>0.6666666667</v>
      </c>
      <c r="AF42" s="1" t="s">
        <v>67</v>
      </c>
      <c r="AG42" s="5"/>
    </row>
    <row r="43">
      <c r="A43" s="5"/>
      <c r="B43" s="6" t="s">
        <v>68</v>
      </c>
      <c r="C43" s="1" t="s">
        <v>69</v>
      </c>
      <c r="D43" s="5"/>
      <c r="E43" s="1" t="s">
        <v>21</v>
      </c>
      <c r="F43" s="1" t="s">
        <v>21</v>
      </c>
      <c r="G43" s="1" t="s">
        <v>21</v>
      </c>
      <c r="H43" s="1" t="s">
        <v>21</v>
      </c>
      <c r="I43" s="1" t="s">
        <v>21</v>
      </c>
      <c r="J43" s="1">
        <v>1.0</v>
      </c>
      <c r="K43" s="1">
        <v>1.0</v>
      </c>
      <c r="L43" s="1">
        <v>1.0</v>
      </c>
      <c r="M43" s="1">
        <v>1.0</v>
      </c>
      <c r="N43" s="8">
        <v>4.0</v>
      </c>
      <c r="O43" s="8">
        <v>4.0</v>
      </c>
      <c r="P43" s="9">
        <f t="shared" si="10"/>
        <v>1</v>
      </c>
      <c r="Q43" s="6" t="s">
        <v>68</v>
      </c>
      <c r="R43" s="1" t="s">
        <v>69</v>
      </c>
      <c r="S43" s="5"/>
      <c r="T43" s="1" t="s">
        <v>21</v>
      </c>
      <c r="U43" s="1" t="s">
        <v>21</v>
      </c>
      <c r="V43" s="1" t="s">
        <v>21</v>
      </c>
      <c r="W43" s="1" t="s">
        <v>21</v>
      </c>
      <c r="X43" s="1" t="s">
        <v>21</v>
      </c>
      <c r="Y43" s="1">
        <v>0.0</v>
      </c>
      <c r="Z43" s="1">
        <v>0.0</v>
      </c>
      <c r="AA43" s="1">
        <v>0.0</v>
      </c>
      <c r="AB43" s="1">
        <v>0.0</v>
      </c>
      <c r="AC43" s="8">
        <v>0.0</v>
      </c>
      <c r="AD43" s="8">
        <v>4.0</v>
      </c>
      <c r="AE43" s="10">
        <f t="shared" si="11"/>
        <v>0</v>
      </c>
      <c r="AF43" s="1" t="s">
        <v>69</v>
      </c>
      <c r="AG43" s="5"/>
    </row>
    <row r="44">
      <c r="A44" s="5"/>
      <c r="B44" s="13"/>
      <c r="C44" s="1" t="s">
        <v>70</v>
      </c>
      <c r="D44" s="5"/>
      <c r="E44" s="1" t="s">
        <v>21</v>
      </c>
      <c r="F44" s="1" t="s">
        <v>21</v>
      </c>
      <c r="G44" s="1" t="s">
        <v>21</v>
      </c>
      <c r="H44" s="1" t="s">
        <v>21</v>
      </c>
      <c r="I44" s="1" t="s">
        <v>21</v>
      </c>
      <c r="J44" s="1" t="s">
        <v>21</v>
      </c>
      <c r="K44" s="1" t="s">
        <v>21</v>
      </c>
      <c r="L44" s="1" t="s">
        <v>21</v>
      </c>
      <c r="M44" s="1" t="s">
        <v>21</v>
      </c>
      <c r="N44" s="8">
        <v>0.0</v>
      </c>
      <c r="O44" s="8">
        <v>0.0</v>
      </c>
      <c r="P44" s="9"/>
      <c r="Q44" s="13"/>
      <c r="R44" s="1" t="s">
        <v>70</v>
      </c>
      <c r="S44" s="5"/>
      <c r="T44" s="1" t="s">
        <v>21</v>
      </c>
      <c r="U44" s="1" t="s">
        <v>21</v>
      </c>
      <c r="V44" s="1" t="s">
        <v>21</v>
      </c>
      <c r="W44" s="1" t="s">
        <v>21</v>
      </c>
      <c r="X44" s="1" t="s">
        <v>21</v>
      </c>
      <c r="Y44" s="1" t="s">
        <v>21</v>
      </c>
      <c r="Z44" s="1" t="s">
        <v>21</v>
      </c>
      <c r="AA44" s="1" t="s">
        <v>21</v>
      </c>
      <c r="AB44" s="1" t="s">
        <v>21</v>
      </c>
      <c r="AC44" s="8">
        <v>0.0</v>
      </c>
      <c r="AD44" s="8">
        <v>0.0</v>
      </c>
      <c r="AE44" s="1">
        <v>-1.0</v>
      </c>
      <c r="AF44" s="1" t="s">
        <v>70</v>
      </c>
      <c r="AG44" s="5"/>
    </row>
    <row r="45">
      <c r="A45" s="5"/>
      <c r="B45" s="6" t="s">
        <v>71</v>
      </c>
      <c r="C45" s="1" t="s">
        <v>72</v>
      </c>
      <c r="D45" s="5"/>
      <c r="E45" s="1" t="s">
        <v>21</v>
      </c>
      <c r="F45" s="1" t="s">
        <v>21</v>
      </c>
      <c r="G45" s="1" t="s">
        <v>21</v>
      </c>
      <c r="H45" s="1" t="s">
        <v>21</v>
      </c>
      <c r="I45" s="1" t="s">
        <v>21</v>
      </c>
      <c r="J45" s="1" t="s">
        <v>21</v>
      </c>
      <c r="K45" s="1" t="s">
        <v>21</v>
      </c>
      <c r="L45" s="1" t="s">
        <v>21</v>
      </c>
      <c r="M45" s="1" t="s">
        <v>21</v>
      </c>
      <c r="N45" s="8">
        <v>0.0</v>
      </c>
      <c r="O45" s="8">
        <v>0.0</v>
      </c>
      <c r="P45" s="9"/>
      <c r="Q45" s="6" t="s">
        <v>71</v>
      </c>
      <c r="R45" s="1" t="s">
        <v>72</v>
      </c>
      <c r="S45" s="5"/>
      <c r="T45" s="1" t="s">
        <v>21</v>
      </c>
      <c r="U45" s="1" t="s">
        <v>21</v>
      </c>
      <c r="V45" s="1" t="s">
        <v>21</v>
      </c>
      <c r="W45" s="1" t="s">
        <v>21</v>
      </c>
      <c r="X45" s="1" t="s">
        <v>21</v>
      </c>
      <c r="Y45" s="1" t="s">
        <v>21</v>
      </c>
      <c r="Z45" s="1" t="s">
        <v>21</v>
      </c>
      <c r="AA45" s="1" t="s">
        <v>21</v>
      </c>
      <c r="AB45" s="1" t="s">
        <v>21</v>
      </c>
      <c r="AC45" s="8">
        <v>0.0</v>
      </c>
      <c r="AD45" s="8">
        <v>0.0</v>
      </c>
      <c r="AE45" s="1">
        <v>-1.0</v>
      </c>
      <c r="AF45" s="1" t="s">
        <v>72</v>
      </c>
      <c r="AG45" s="5"/>
    </row>
    <row r="46">
      <c r="A46" s="5"/>
      <c r="B46" s="11"/>
      <c r="C46" s="1" t="s">
        <v>73</v>
      </c>
      <c r="D46" s="5"/>
      <c r="E46" s="1" t="s">
        <v>21</v>
      </c>
      <c r="F46" s="1" t="s">
        <v>21</v>
      </c>
      <c r="G46" s="1" t="s">
        <v>21</v>
      </c>
      <c r="H46" s="1" t="s">
        <v>21</v>
      </c>
      <c r="I46" s="1" t="s">
        <v>21</v>
      </c>
      <c r="J46" s="1" t="s">
        <v>21</v>
      </c>
      <c r="K46" s="1" t="s">
        <v>21</v>
      </c>
      <c r="L46" s="1" t="s">
        <v>21</v>
      </c>
      <c r="M46" s="1" t="s">
        <v>21</v>
      </c>
      <c r="N46" s="8">
        <v>0.0</v>
      </c>
      <c r="O46" s="8">
        <v>0.0</v>
      </c>
      <c r="P46" s="9"/>
      <c r="Q46" s="11"/>
      <c r="R46" s="1" t="s">
        <v>73</v>
      </c>
      <c r="S46" s="5"/>
      <c r="T46" s="1" t="s">
        <v>21</v>
      </c>
      <c r="U46" s="1" t="s">
        <v>21</v>
      </c>
      <c r="V46" s="1" t="s">
        <v>21</v>
      </c>
      <c r="W46" s="1" t="s">
        <v>21</v>
      </c>
      <c r="X46" s="1" t="s">
        <v>21</v>
      </c>
      <c r="Y46" s="1" t="s">
        <v>21</v>
      </c>
      <c r="Z46" s="1" t="s">
        <v>21</v>
      </c>
      <c r="AA46" s="1" t="s">
        <v>21</v>
      </c>
      <c r="AB46" s="1" t="s">
        <v>21</v>
      </c>
      <c r="AC46" s="8">
        <v>0.0</v>
      </c>
      <c r="AD46" s="8">
        <v>0.0</v>
      </c>
      <c r="AE46" s="1">
        <v>-1.0</v>
      </c>
      <c r="AF46" s="1" t="s">
        <v>73</v>
      </c>
      <c r="AG46" s="5"/>
    </row>
    <row r="47">
      <c r="A47" s="5"/>
      <c r="B47" s="13"/>
      <c r="C47" s="1" t="s">
        <v>74</v>
      </c>
      <c r="D47" s="5"/>
      <c r="E47" s="1" t="s">
        <v>21</v>
      </c>
      <c r="F47" s="1" t="s">
        <v>21</v>
      </c>
      <c r="G47" s="1" t="s">
        <v>21</v>
      </c>
      <c r="H47" s="1" t="s">
        <v>21</v>
      </c>
      <c r="I47" s="1" t="s">
        <v>21</v>
      </c>
      <c r="J47" s="1" t="s">
        <v>21</v>
      </c>
      <c r="K47" s="1" t="s">
        <v>21</v>
      </c>
      <c r="L47" s="1" t="s">
        <v>21</v>
      </c>
      <c r="M47" s="1" t="s">
        <v>21</v>
      </c>
      <c r="N47" s="8">
        <v>0.0</v>
      </c>
      <c r="O47" s="8">
        <v>0.0</v>
      </c>
      <c r="P47" s="9"/>
      <c r="Q47" s="13"/>
      <c r="R47" s="1" t="s">
        <v>74</v>
      </c>
      <c r="S47" s="5"/>
      <c r="T47" s="1" t="s">
        <v>21</v>
      </c>
      <c r="U47" s="1" t="s">
        <v>21</v>
      </c>
      <c r="V47" s="1" t="s">
        <v>21</v>
      </c>
      <c r="W47" s="1" t="s">
        <v>21</v>
      </c>
      <c r="X47" s="1" t="s">
        <v>21</v>
      </c>
      <c r="Y47" s="1" t="s">
        <v>21</v>
      </c>
      <c r="Z47" s="1" t="s">
        <v>21</v>
      </c>
      <c r="AA47" s="1" t="s">
        <v>21</v>
      </c>
      <c r="AB47" s="1" t="s">
        <v>21</v>
      </c>
      <c r="AC47" s="8">
        <v>0.0</v>
      </c>
      <c r="AD47" s="8">
        <v>0.0</v>
      </c>
      <c r="AE47" s="1">
        <v>-1.0</v>
      </c>
      <c r="AF47" s="1" t="s">
        <v>74</v>
      </c>
      <c r="AG47" s="5"/>
    </row>
    <row r="48">
      <c r="A48" s="5"/>
      <c r="B48" s="6" t="s">
        <v>75</v>
      </c>
      <c r="C48" s="1" t="s">
        <v>76</v>
      </c>
      <c r="D48" s="5"/>
      <c r="E48" s="1" t="s">
        <v>21</v>
      </c>
      <c r="F48" s="1" t="s">
        <v>21</v>
      </c>
      <c r="G48" s="1" t="s">
        <v>21</v>
      </c>
      <c r="H48" s="1" t="s">
        <v>21</v>
      </c>
      <c r="I48" s="1" t="s">
        <v>21</v>
      </c>
      <c r="J48" s="1" t="s">
        <v>21</v>
      </c>
      <c r="K48" s="1" t="s">
        <v>21</v>
      </c>
      <c r="L48" s="1" t="s">
        <v>21</v>
      </c>
      <c r="M48" s="1" t="s">
        <v>21</v>
      </c>
      <c r="N48" s="8">
        <v>0.0</v>
      </c>
      <c r="O48" s="8">
        <v>0.0</v>
      </c>
      <c r="P48" s="9"/>
      <c r="Q48" s="6" t="s">
        <v>75</v>
      </c>
      <c r="R48" s="1" t="s">
        <v>76</v>
      </c>
      <c r="S48" s="5"/>
      <c r="T48" s="1" t="s">
        <v>21</v>
      </c>
      <c r="U48" s="1" t="s">
        <v>21</v>
      </c>
      <c r="V48" s="1" t="s">
        <v>21</v>
      </c>
      <c r="W48" s="1" t="s">
        <v>21</v>
      </c>
      <c r="X48" s="1" t="s">
        <v>21</v>
      </c>
      <c r="Y48" s="1" t="s">
        <v>21</v>
      </c>
      <c r="Z48" s="1" t="s">
        <v>21</v>
      </c>
      <c r="AA48" s="1" t="s">
        <v>21</v>
      </c>
      <c r="AB48" s="1" t="s">
        <v>21</v>
      </c>
      <c r="AC48" s="8">
        <v>0.0</v>
      </c>
      <c r="AD48" s="8">
        <v>0.0</v>
      </c>
      <c r="AE48" s="1">
        <v>-1.0</v>
      </c>
      <c r="AF48" s="1" t="s">
        <v>76</v>
      </c>
      <c r="AG48" s="5"/>
    </row>
    <row r="49">
      <c r="A49" s="5"/>
      <c r="B49" s="11"/>
      <c r="C49" s="1" t="s">
        <v>77</v>
      </c>
      <c r="D49" s="5"/>
      <c r="E49" s="1" t="s">
        <v>21</v>
      </c>
      <c r="F49" s="1" t="s">
        <v>21</v>
      </c>
      <c r="G49" s="1" t="s">
        <v>21</v>
      </c>
      <c r="H49" s="1" t="s">
        <v>21</v>
      </c>
      <c r="I49" s="1" t="s">
        <v>21</v>
      </c>
      <c r="J49" s="1" t="s">
        <v>21</v>
      </c>
      <c r="K49" s="1" t="s">
        <v>21</v>
      </c>
      <c r="L49" s="1" t="s">
        <v>21</v>
      </c>
      <c r="M49" s="1" t="s">
        <v>21</v>
      </c>
      <c r="N49" s="8">
        <v>0.0</v>
      </c>
      <c r="O49" s="8">
        <v>0.0</v>
      </c>
      <c r="P49" s="9"/>
      <c r="Q49" s="11"/>
      <c r="R49" s="1" t="s">
        <v>77</v>
      </c>
      <c r="S49" s="5"/>
      <c r="T49" s="1" t="s">
        <v>21</v>
      </c>
      <c r="U49" s="1" t="s">
        <v>21</v>
      </c>
      <c r="V49" s="1" t="s">
        <v>21</v>
      </c>
      <c r="W49" s="1" t="s">
        <v>21</v>
      </c>
      <c r="X49" s="1" t="s">
        <v>21</v>
      </c>
      <c r="Y49" s="1" t="s">
        <v>21</v>
      </c>
      <c r="Z49" s="1" t="s">
        <v>21</v>
      </c>
      <c r="AA49" s="1" t="s">
        <v>21</v>
      </c>
      <c r="AB49" s="1" t="s">
        <v>21</v>
      </c>
      <c r="AC49" s="8">
        <v>0.0</v>
      </c>
      <c r="AD49" s="8">
        <v>0.0</v>
      </c>
      <c r="AE49" s="1">
        <v>-1.0</v>
      </c>
      <c r="AF49" s="1" t="s">
        <v>77</v>
      </c>
      <c r="AG49" s="5"/>
    </row>
    <row r="50">
      <c r="A50" s="5"/>
      <c r="B50" s="13"/>
      <c r="C50" s="1" t="s">
        <v>78</v>
      </c>
      <c r="D50" s="5"/>
      <c r="E50" s="1" t="s">
        <v>21</v>
      </c>
      <c r="F50" s="1" t="s">
        <v>21</v>
      </c>
      <c r="G50" s="1" t="s">
        <v>21</v>
      </c>
      <c r="H50" s="1" t="s">
        <v>21</v>
      </c>
      <c r="I50" s="1" t="s">
        <v>21</v>
      </c>
      <c r="J50" s="1" t="s">
        <v>21</v>
      </c>
      <c r="K50" s="1" t="s">
        <v>21</v>
      </c>
      <c r="L50" s="1" t="s">
        <v>21</v>
      </c>
      <c r="M50" s="1" t="s">
        <v>21</v>
      </c>
      <c r="N50" s="8">
        <v>0.0</v>
      </c>
      <c r="O50" s="8">
        <v>0.0</v>
      </c>
      <c r="P50" s="9"/>
      <c r="Q50" s="13"/>
      <c r="R50" s="1" t="s">
        <v>78</v>
      </c>
      <c r="S50" s="5"/>
      <c r="T50" s="1" t="s">
        <v>21</v>
      </c>
      <c r="U50" s="1" t="s">
        <v>21</v>
      </c>
      <c r="V50" s="1" t="s">
        <v>21</v>
      </c>
      <c r="W50" s="1" t="s">
        <v>21</v>
      </c>
      <c r="X50" s="1" t="s">
        <v>21</v>
      </c>
      <c r="Y50" s="1" t="s">
        <v>21</v>
      </c>
      <c r="Z50" s="1" t="s">
        <v>21</v>
      </c>
      <c r="AA50" s="1" t="s">
        <v>21</v>
      </c>
      <c r="AB50" s="1" t="s">
        <v>21</v>
      </c>
      <c r="AC50" s="8">
        <v>0.0</v>
      </c>
      <c r="AD50" s="8">
        <v>0.0</v>
      </c>
      <c r="AE50" s="1">
        <v>-1.0</v>
      </c>
      <c r="AF50" s="1" t="s">
        <v>78</v>
      </c>
      <c r="AG50" s="5"/>
    </row>
    <row r="51">
      <c r="A51" s="1" t="s">
        <v>79</v>
      </c>
      <c r="B51" s="5"/>
      <c r="C51" s="5"/>
      <c r="D51" s="5"/>
      <c r="E51" s="1">
        <v>20.0</v>
      </c>
      <c r="F51" s="1">
        <v>20.0</v>
      </c>
      <c r="G51" s="1">
        <v>21.0</v>
      </c>
      <c r="H51" s="1">
        <v>22.0</v>
      </c>
      <c r="I51" s="1">
        <v>22.0</v>
      </c>
      <c r="J51" s="1">
        <v>25.0</v>
      </c>
      <c r="K51" s="1">
        <v>28.0</v>
      </c>
      <c r="L51" s="1">
        <v>28.0</v>
      </c>
      <c r="M51" s="1">
        <v>27.0</v>
      </c>
      <c r="N51" s="5"/>
      <c r="O51" s="5"/>
      <c r="P51" s="14"/>
      <c r="Q51" s="5"/>
      <c r="R51" s="5"/>
      <c r="S51" s="5"/>
      <c r="T51" s="1">
        <v>20.0</v>
      </c>
      <c r="U51" s="1">
        <v>20.0</v>
      </c>
      <c r="V51" s="1">
        <v>21.0</v>
      </c>
      <c r="W51" s="1">
        <v>21.0</v>
      </c>
      <c r="X51" s="1">
        <v>21.0</v>
      </c>
      <c r="Y51" s="1">
        <v>25.0</v>
      </c>
      <c r="Z51" s="1">
        <v>27.0</v>
      </c>
      <c r="AA51" s="1">
        <v>27.0</v>
      </c>
      <c r="AB51" s="1">
        <v>27.0</v>
      </c>
      <c r="AC51" s="5"/>
      <c r="AD51" s="5"/>
      <c r="AE51" s="14"/>
    </row>
    <row r="52">
      <c r="A52" s="1" t="s">
        <v>80</v>
      </c>
      <c r="B52" s="5"/>
      <c r="C52" s="5"/>
      <c r="D52" s="5"/>
      <c r="E52" s="5">
        <f>SUM(E4,E5,E7,E9,E11,E12,E13,E15,E16,E18,E20,E25,E26,E27,E28,E33,E36,E37,E38,E42)</f>
        <v>19</v>
      </c>
      <c r="F52" s="5">
        <f>SUM(F4,F5,F7,F9,F11,F12,F13,F15,F16,F18,F21,F25,F26,F27,F28,F33,F36,F37,F38,F42)</f>
        <v>19</v>
      </c>
      <c r="G52" s="5">
        <f>sum(G4,G5,G7,G10,G11,G12,G13,G15,G17,G18,G20,G25,G26,G27,G28,G33,G36,G37,G38,G42,G40)</f>
        <v>20</v>
      </c>
      <c r="H52" s="5">
        <f t="shared" ref="H52:I52" si="12">sum(H42,H39,H38,H37,H36,H33,H28,H27,H26,H25,H21,H18,H17,H15,H13,H12,H11,H10,H7,H5,H4,H40)</f>
        <v>22</v>
      </c>
      <c r="I52" s="5">
        <f t="shared" si="12"/>
        <v>22</v>
      </c>
      <c r="J52" s="5">
        <f>sum(J43,J42,J40,J38,J37,J36,J33,J30,J29,J28,J27,J26,J25,J20,J18,J17,J15,J14,J13,J12,J11,J10,J7,J5,J4)</f>
        <v>24</v>
      </c>
      <c r="K52" s="5">
        <f>sum(K43,K42,K40,K39,K38,K37,K36,K35,K33,K30,K29,K28,K27,K26,K25,K21,K18,K17,K15,K14,K13,K12,K11,K10,K7,K6,K5,K4)</f>
        <v>28</v>
      </c>
      <c r="L52" s="5">
        <f>sum(L43,L42,L40,L39,L38,L37,L36,L35,L33,L30,L29,L28,L27,L26,L25,L22,L18,L17,L15,L14,L13,L12,L11,L10,L7,L6,L5,L4)</f>
        <v>26</v>
      </c>
      <c r="M52" s="5">
        <f>sum(M43,M42,M40,M38,M37,M36,M35,M33,M30,M29,M28,M27,M26,M25,M21,M18,M17,M15,M14,M13,M12,M11,M10,M7,M6,M5,M4)</f>
        <v>26</v>
      </c>
      <c r="N52" s="5"/>
      <c r="O52" s="5"/>
      <c r="P52" s="14"/>
      <c r="Q52" s="5"/>
      <c r="R52" s="5"/>
      <c r="S52" s="5"/>
      <c r="T52" s="5">
        <f t="shared" ref="T52:U52" si="13">SUM(T4,T5,T7,T9,T11,T12,T13,T15,T16,T18,T20,T25,T26,T27,T28,T33,T36,T37,T38,T42)</f>
        <v>14</v>
      </c>
      <c r="U52" s="5">
        <f t="shared" si="13"/>
        <v>13</v>
      </c>
      <c r="V52" s="5">
        <f>sum(V42,V40,V38,V37,V36,V33,V28,V27,V26,V25,V19,V18,V17,V15,V13,V12,V11,V10,V7,V5,V4)</f>
        <v>13</v>
      </c>
      <c r="W52" s="5">
        <f>sum(W42,W40,W38,W37,W36,W33,W28,W27,W26,W25,W20,W18,W17,W15,W13,W12,W11,W10,W7,W5,W4)</f>
        <v>14</v>
      </c>
      <c r="X52" s="5">
        <f>sum(X42,X40,X38,X37,X36,X33,X28,X27,X26,X25,X19,X18,X17,X15,X13,X12,X11,X10,X7,X5,X4)</f>
        <v>12</v>
      </c>
      <c r="Y52" s="5">
        <f>SUM(Y43,Y42,Y40,Y38,Y37,Y36,Y33,Y30,Y29,Y28,Y27,Y26,Y25,Y20,Y18,Y17,Y15,Y14,Y13,Y12,Y11,Y10,Y7,Y4,Y5)</f>
        <v>17</v>
      </c>
      <c r="Z52" s="5">
        <f>sum(Z43,Z42,Z40,Z38,Z37,Z36,Z35,Z33,Z30,Z29,Z28,Z27,Z26,Z25,Z20,Z18,Z17,Z15,Z14,Z13,Z12,Z11,Z10,Z7,Z6,Z5,Z4)</f>
        <v>20</v>
      </c>
      <c r="AA52" s="5">
        <f>sum(AA43,AA42,AA40,AA38,AA37,AA36,AA35,AA33,AA30,AA29,AA28,AA27,AA26,AA25,AA22,AA18,AA17,AA15,AA14,AA13,AA12,AA11,AA10,AA7,AA6,AA5,AA4)</f>
        <v>18</v>
      </c>
      <c r="AB52" s="5">
        <f>sum(AB43,AB42,AB40,AB38,AB37,AB36,AB35,AB33,AB30,AB29,AB28,AB27,AB26,AB25,AB21,AB18,AB17,AB15,AB14,AB13,AB12,AB11,AB10,AB7,AB6,AB5,AB4)</f>
        <v>15</v>
      </c>
      <c r="AC52" s="5"/>
      <c r="AD52" s="5"/>
      <c r="AE52" s="14"/>
    </row>
    <row r="53">
      <c r="A53" s="1" t="s">
        <v>14</v>
      </c>
      <c r="B53" s="5"/>
      <c r="C53" s="5"/>
      <c r="D53" s="5"/>
      <c r="E53" s="14">
        <f t="shared" ref="E53:M53" si="14">E52/E51</f>
        <v>0.95</v>
      </c>
      <c r="F53" s="14">
        <f t="shared" si="14"/>
        <v>0.95</v>
      </c>
      <c r="G53" s="14">
        <f t="shared" si="14"/>
        <v>0.9523809524</v>
      </c>
      <c r="H53" s="14">
        <f t="shared" si="14"/>
        <v>1</v>
      </c>
      <c r="I53" s="14">
        <f t="shared" si="14"/>
        <v>1</v>
      </c>
      <c r="J53" s="14">
        <f t="shared" si="14"/>
        <v>0.96</v>
      </c>
      <c r="K53" s="14">
        <f t="shared" si="14"/>
        <v>1</v>
      </c>
      <c r="L53" s="14">
        <f t="shared" si="14"/>
        <v>0.9285714286</v>
      </c>
      <c r="M53" s="14">
        <f t="shared" si="14"/>
        <v>0.962962963</v>
      </c>
      <c r="N53" s="5"/>
      <c r="O53" s="5"/>
      <c r="P53" s="14"/>
      <c r="Q53" s="5"/>
      <c r="R53" s="5"/>
      <c r="S53" s="5"/>
      <c r="T53" s="14">
        <f t="shared" ref="T53:AB53" si="15">T52/T51</f>
        <v>0.7</v>
      </c>
      <c r="U53" s="14">
        <f t="shared" si="15"/>
        <v>0.65</v>
      </c>
      <c r="V53" s="14">
        <f t="shared" si="15"/>
        <v>0.619047619</v>
      </c>
      <c r="W53" s="14">
        <f t="shared" si="15"/>
        <v>0.6666666667</v>
      </c>
      <c r="X53" s="14">
        <f t="shared" si="15"/>
        <v>0.5714285714</v>
      </c>
      <c r="Y53" s="14">
        <f t="shared" si="15"/>
        <v>0.68</v>
      </c>
      <c r="Z53" s="14">
        <f t="shared" si="15"/>
        <v>0.7407407407</v>
      </c>
      <c r="AA53" s="14">
        <f t="shared" si="15"/>
        <v>0.6666666667</v>
      </c>
      <c r="AB53" s="14">
        <f t="shared" si="15"/>
        <v>0.5555555556</v>
      </c>
      <c r="AC53" s="5"/>
      <c r="AD53" s="5"/>
      <c r="AE53" s="14"/>
    </row>
    <row r="54">
      <c r="A54" s="1"/>
      <c r="B54" s="5"/>
      <c r="C54" s="5"/>
      <c r="D54" s="5"/>
      <c r="E54" s="15"/>
      <c r="F54" s="15"/>
      <c r="G54" s="15"/>
      <c r="H54" s="15"/>
      <c r="I54" s="15"/>
      <c r="J54" s="15"/>
      <c r="K54" s="15"/>
      <c r="L54" s="15"/>
      <c r="M54" s="15"/>
      <c r="N54" s="5"/>
      <c r="O54" s="5"/>
      <c r="P54" s="14"/>
      <c r="Q54" s="5"/>
      <c r="R54" s="5"/>
      <c r="S54" s="5"/>
      <c r="T54" s="1" t="s">
        <v>3</v>
      </c>
      <c r="U54" s="1" t="s">
        <v>4</v>
      </c>
      <c r="V54" s="1" t="s">
        <v>5</v>
      </c>
      <c r="W54" s="1" t="s">
        <v>6</v>
      </c>
      <c r="X54" s="1" t="s">
        <v>7</v>
      </c>
      <c r="Y54" s="1" t="s">
        <v>8</v>
      </c>
      <c r="Z54" s="1" t="s">
        <v>9</v>
      </c>
      <c r="AA54" s="1" t="s">
        <v>10</v>
      </c>
      <c r="AB54" s="1" t="s">
        <v>11</v>
      </c>
      <c r="AC54" s="5"/>
      <c r="AD54" s="5"/>
      <c r="AE54" s="14"/>
    </row>
    <row r="55">
      <c r="A55" s="1" t="s">
        <v>81</v>
      </c>
      <c r="B55" s="5"/>
      <c r="C55" s="5"/>
      <c r="D55" s="5"/>
      <c r="E55" s="1">
        <v>10.0</v>
      </c>
      <c r="F55" s="1">
        <v>10.0</v>
      </c>
      <c r="G55" s="1">
        <v>10.0</v>
      </c>
      <c r="H55" s="1">
        <v>10.0</v>
      </c>
      <c r="I55" s="1">
        <v>10.0</v>
      </c>
      <c r="J55" s="1">
        <v>10.0</v>
      </c>
      <c r="K55" s="1">
        <v>10.0</v>
      </c>
      <c r="L55" s="1">
        <v>10.0</v>
      </c>
      <c r="M55" s="1">
        <v>10.0</v>
      </c>
      <c r="N55" s="5"/>
      <c r="O55" s="5"/>
      <c r="P55" s="14"/>
      <c r="Q55" s="5"/>
      <c r="R55" s="5"/>
      <c r="S55" s="5"/>
      <c r="T55" s="1">
        <v>7.0</v>
      </c>
      <c r="U55" s="1">
        <v>7.0</v>
      </c>
      <c r="V55" s="1">
        <v>7.0</v>
      </c>
      <c r="W55" s="1">
        <v>7.0</v>
      </c>
      <c r="X55" s="1">
        <v>7.0</v>
      </c>
      <c r="Y55" s="1">
        <v>7.0</v>
      </c>
      <c r="Z55" s="1">
        <v>8.0</v>
      </c>
      <c r="AA55" s="1">
        <v>8.0</v>
      </c>
      <c r="AB55" s="1">
        <v>8.0</v>
      </c>
      <c r="AC55" s="5"/>
      <c r="AD55" s="5"/>
      <c r="AE55" s="14"/>
    </row>
    <row r="56">
      <c r="A56" s="1" t="s">
        <v>80</v>
      </c>
      <c r="B56" s="5"/>
      <c r="C56" s="5"/>
      <c r="D56" s="5"/>
      <c r="E56" s="1">
        <v>10.0</v>
      </c>
      <c r="F56" s="1">
        <v>10.0</v>
      </c>
      <c r="G56" s="1">
        <v>10.0</v>
      </c>
      <c r="H56" s="1">
        <v>10.0</v>
      </c>
      <c r="I56" s="1">
        <v>10.0</v>
      </c>
      <c r="J56" s="1">
        <v>10.0</v>
      </c>
      <c r="K56" s="1">
        <v>10.0</v>
      </c>
      <c r="L56" s="1">
        <v>10.0</v>
      </c>
      <c r="M56" s="1">
        <v>10.0</v>
      </c>
      <c r="N56" s="5"/>
      <c r="O56" s="5"/>
      <c r="P56" s="14"/>
      <c r="Q56" s="5"/>
      <c r="R56" s="5"/>
      <c r="S56" s="5"/>
      <c r="T56" s="5">
        <f t="shared" ref="T56:U56" si="16">sum(T4,T5,T7,T9,T11,T12,T13)</f>
        <v>5</v>
      </c>
      <c r="U56" s="5">
        <f t="shared" si="16"/>
        <v>5</v>
      </c>
      <c r="V56" s="5">
        <f t="shared" ref="V56:Y56" si="17">SUM(V4,V5,V7,V10,V11,V12,V13)</f>
        <v>4</v>
      </c>
      <c r="W56" s="5">
        <f t="shared" si="17"/>
        <v>4</v>
      </c>
      <c r="X56" s="5">
        <f t="shared" si="17"/>
        <v>5</v>
      </c>
      <c r="Y56" s="5">
        <f t="shared" si="17"/>
        <v>5</v>
      </c>
      <c r="Z56" s="5">
        <f t="shared" ref="Z56:AB56" si="18">SUM(Z4,Z5,Z6,Z7,Z10,Z11,Z12,Z13)</f>
        <v>5</v>
      </c>
      <c r="AA56" s="5">
        <f t="shared" si="18"/>
        <v>4</v>
      </c>
      <c r="AB56" s="5">
        <f t="shared" si="18"/>
        <v>3</v>
      </c>
      <c r="AC56" s="5"/>
      <c r="AD56" s="5"/>
      <c r="AE56" s="14"/>
    </row>
    <row r="57">
      <c r="A57" s="1" t="s">
        <v>82</v>
      </c>
      <c r="B57" s="5"/>
      <c r="C57" s="5"/>
      <c r="D57" s="5"/>
      <c r="E57" s="15">
        <v>1.0</v>
      </c>
      <c r="F57" s="15">
        <v>1.0</v>
      </c>
      <c r="G57" s="15">
        <v>1.0</v>
      </c>
      <c r="H57" s="15">
        <v>1.0</v>
      </c>
      <c r="I57" s="15">
        <v>1.0</v>
      </c>
      <c r="J57" s="15">
        <v>1.0</v>
      </c>
      <c r="K57" s="15">
        <v>1.0</v>
      </c>
      <c r="L57" s="15">
        <v>1.0</v>
      </c>
      <c r="M57" s="15">
        <v>1.0</v>
      </c>
      <c r="N57" s="5"/>
      <c r="O57" s="5"/>
      <c r="P57" s="14"/>
      <c r="Q57" s="5"/>
      <c r="R57" s="5"/>
      <c r="S57" s="5"/>
      <c r="T57" s="14">
        <f t="shared" ref="T57:AB57" si="19">T56/T55</f>
        <v>0.7142857143</v>
      </c>
      <c r="U57" s="14">
        <f t="shared" si="19"/>
        <v>0.7142857143</v>
      </c>
      <c r="V57" s="14">
        <f t="shared" si="19"/>
        <v>0.5714285714</v>
      </c>
      <c r="W57" s="14">
        <f t="shared" si="19"/>
        <v>0.5714285714</v>
      </c>
      <c r="X57" s="14">
        <f t="shared" si="19"/>
        <v>0.7142857143</v>
      </c>
      <c r="Y57" s="14">
        <f t="shared" si="19"/>
        <v>0.7142857143</v>
      </c>
      <c r="Z57" s="14">
        <f t="shared" si="19"/>
        <v>0.625</v>
      </c>
      <c r="AA57" s="14">
        <f t="shared" si="19"/>
        <v>0.5</v>
      </c>
      <c r="AB57" s="14">
        <f t="shared" si="19"/>
        <v>0.375</v>
      </c>
      <c r="AC57" s="5"/>
      <c r="AD57" s="5"/>
      <c r="AE57" s="14"/>
    </row>
    <row r="58" ht="15.0" customHeight="1">
      <c r="T58" s="1" t="s">
        <v>3</v>
      </c>
      <c r="U58" s="1" t="s">
        <v>4</v>
      </c>
      <c r="V58" s="1" t="s">
        <v>5</v>
      </c>
      <c r="W58" s="1" t="s">
        <v>6</v>
      </c>
      <c r="X58" s="1" t="s">
        <v>7</v>
      </c>
      <c r="Y58" s="1" t="s">
        <v>8</v>
      </c>
      <c r="Z58" s="1" t="s">
        <v>9</v>
      </c>
      <c r="AA58" s="1" t="s">
        <v>10</v>
      </c>
      <c r="AB58" s="1" t="s">
        <v>11</v>
      </c>
    </row>
    <row r="73">
      <c r="D73" s="16" t="s">
        <v>3</v>
      </c>
      <c r="E73" s="16" t="s">
        <v>4</v>
      </c>
      <c r="F73" s="16" t="s">
        <v>5</v>
      </c>
      <c r="G73" s="16" t="s">
        <v>6</v>
      </c>
      <c r="H73" s="16" t="s">
        <v>7</v>
      </c>
      <c r="I73" s="16" t="s">
        <v>8</v>
      </c>
      <c r="J73" s="16" t="s">
        <v>9</v>
      </c>
      <c r="K73" s="16" t="s">
        <v>10</v>
      </c>
      <c r="L73" s="16" t="s">
        <v>11</v>
      </c>
    </row>
    <row r="74">
      <c r="D74" s="17">
        <v>0.7142857142857143</v>
      </c>
      <c r="E74" s="17">
        <v>0.7142857142857143</v>
      </c>
      <c r="F74" s="17">
        <v>0.5714285714285714</v>
      </c>
      <c r="G74" s="17">
        <v>0.5714285714285714</v>
      </c>
      <c r="H74" s="17">
        <v>0.7142857142857143</v>
      </c>
      <c r="I74" s="17">
        <v>0.7142857142857143</v>
      </c>
      <c r="J74" s="17">
        <v>0.625</v>
      </c>
      <c r="K74" s="17">
        <v>0.5</v>
      </c>
      <c r="L74" s="17">
        <v>0.375</v>
      </c>
    </row>
  </sheetData>
  <mergeCells count="27">
    <mergeCell ref="Q14:Q18"/>
    <mergeCell ref="Q19:Q24"/>
    <mergeCell ref="Q4:Q13"/>
    <mergeCell ref="Q25:Q32"/>
    <mergeCell ref="Q43:Q44"/>
    <mergeCell ref="Q45:Q47"/>
    <mergeCell ref="Q48:Q50"/>
    <mergeCell ref="C27:C28"/>
    <mergeCell ref="R27:R28"/>
    <mergeCell ref="E1:M1"/>
    <mergeCell ref="T1:AB1"/>
    <mergeCell ref="A4:A18"/>
    <mergeCell ref="B4:B13"/>
    <mergeCell ref="B14:B18"/>
    <mergeCell ref="B19:B24"/>
    <mergeCell ref="B25:B32"/>
    <mergeCell ref="B40:B42"/>
    <mergeCell ref="B43:B44"/>
    <mergeCell ref="B45:B47"/>
    <mergeCell ref="B48:B50"/>
    <mergeCell ref="B33:B35"/>
    <mergeCell ref="Q33:Q35"/>
    <mergeCell ref="B36:B37"/>
    <mergeCell ref="Q36:Q37"/>
    <mergeCell ref="B38:B39"/>
    <mergeCell ref="Q38:Q39"/>
    <mergeCell ref="Q40:Q42"/>
  </mergeCells>
  <printOptions gridLines="1" horizontalCentered="1"/>
  <pageMargins bottom="0.75" footer="0.0" header="0.0" left="0.7" right="0.7" top="0.75"/>
  <pageSetup paperSize="8" scale="125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sheetData>
    <row r="1">
      <c r="A1" s="18" t="s">
        <v>83</v>
      </c>
      <c r="B1" s="18" t="s">
        <v>84</v>
      </c>
    </row>
    <row r="2">
      <c r="A2" s="19">
        <v>0.0</v>
      </c>
      <c r="B2" s="18" t="s">
        <v>18</v>
      </c>
    </row>
    <row r="3">
      <c r="A3" s="19">
        <v>0.5555555555555556</v>
      </c>
      <c r="B3" s="18" t="s">
        <v>19</v>
      </c>
    </row>
    <row r="4">
      <c r="A4" s="19">
        <v>0.0</v>
      </c>
      <c r="B4" s="18" t="s">
        <v>20</v>
      </c>
    </row>
    <row r="5">
      <c r="A5" s="19">
        <v>1.0</v>
      </c>
      <c r="B5" s="18" t="s">
        <v>22</v>
      </c>
    </row>
    <row r="6">
      <c r="A6" s="19">
        <v>1.0</v>
      </c>
      <c r="B6" s="18" t="s">
        <v>24</v>
      </c>
    </row>
    <row r="7">
      <c r="A7" s="19">
        <v>0.7142857142857143</v>
      </c>
      <c r="B7" s="18" t="s">
        <v>25</v>
      </c>
    </row>
    <row r="8">
      <c r="A8" s="19">
        <v>1.0</v>
      </c>
      <c r="B8" s="18" t="s">
        <v>26</v>
      </c>
    </row>
    <row r="9">
      <c r="A9" s="19">
        <v>0.4444444444444444</v>
      </c>
      <c r="B9" s="18" t="s">
        <v>27</v>
      </c>
    </row>
    <row r="10">
      <c r="A10" s="19">
        <v>0.6666666666666666</v>
      </c>
      <c r="B10" s="18" t="s">
        <v>28</v>
      </c>
    </row>
    <row r="11">
      <c r="A11" s="19">
        <v>0.5</v>
      </c>
      <c r="B11" s="18" t="s">
        <v>30</v>
      </c>
    </row>
    <row r="12">
      <c r="A12" s="19">
        <v>0.8888888888888888</v>
      </c>
      <c r="B12" s="18" t="s">
        <v>31</v>
      </c>
    </row>
    <row r="13">
      <c r="A13" s="19">
        <v>1.0</v>
      </c>
      <c r="B13" s="18" t="s">
        <v>32</v>
      </c>
    </row>
    <row r="14">
      <c r="A14" s="19">
        <v>1.0</v>
      </c>
      <c r="B14" s="18" t="s">
        <v>33</v>
      </c>
    </row>
    <row r="15">
      <c r="A15" s="19">
        <v>1.0</v>
      </c>
      <c r="B15" s="18" t="s">
        <v>34</v>
      </c>
    </row>
    <row r="16">
      <c r="A16" s="19">
        <v>0.0</v>
      </c>
      <c r="B16" s="18" t="s">
        <v>37</v>
      </c>
    </row>
    <row r="17">
      <c r="A17" s="19">
        <v>1.0</v>
      </c>
      <c r="B17" s="18" t="s">
        <v>38</v>
      </c>
    </row>
    <row r="18">
      <c r="A18" s="19">
        <v>1.0</v>
      </c>
      <c r="B18" s="18" t="s">
        <v>39</v>
      </c>
    </row>
    <row r="19">
      <c r="A19" s="19">
        <v>1.0</v>
      </c>
      <c r="B19" s="18" t="s">
        <v>40</v>
      </c>
    </row>
    <row r="20">
      <c r="A20" s="19">
        <v>1.0</v>
      </c>
      <c r="B20" s="18" t="s">
        <v>44</v>
      </c>
    </row>
    <row r="21">
      <c r="A21" s="19">
        <v>1.0</v>
      </c>
      <c r="B21" s="18" t="s">
        <v>45</v>
      </c>
    </row>
    <row r="22">
      <c r="A22" s="19">
        <v>1.0</v>
      </c>
      <c r="B22" s="18" t="s">
        <v>47</v>
      </c>
    </row>
    <row r="23">
      <c r="A23" s="19">
        <v>0.1111111111111111</v>
      </c>
      <c r="B23" s="18" t="s">
        <v>48</v>
      </c>
    </row>
    <row r="24">
      <c r="A24" s="19">
        <v>1.0</v>
      </c>
      <c r="B24" s="18" t="s">
        <v>49</v>
      </c>
    </row>
    <row r="25">
      <c r="A25" s="19">
        <v>1.0</v>
      </c>
      <c r="B25" s="18" t="s">
        <v>50</v>
      </c>
    </row>
    <row r="26">
      <c r="A26" s="19">
        <v>0.0</v>
      </c>
      <c r="B26" s="18" t="s">
        <v>55</v>
      </c>
    </row>
    <row r="27">
      <c r="A27" s="19">
        <v>1.0</v>
      </c>
      <c r="B27" s="18" t="s">
        <v>57</v>
      </c>
    </row>
    <row r="28">
      <c r="A28" s="19">
        <v>1.0</v>
      </c>
      <c r="B28" s="18" t="s">
        <v>59</v>
      </c>
    </row>
    <row r="29">
      <c r="A29" s="19">
        <v>0.5555555555555556</v>
      </c>
      <c r="B29" s="18" t="s">
        <v>60</v>
      </c>
    </row>
    <row r="30">
      <c r="A30" s="19">
        <v>0.2857142857142857</v>
      </c>
      <c r="B30" s="18" t="s">
        <v>65</v>
      </c>
    </row>
    <row r="31">
      <c r="A31" s="19">
        <v>0.6666666666666666</v>
      </c>
      <c r="B31" s="18" t="s">
        <v>67</v>
      </c>
    </row>
    <row r="32">
      <c r="A32" s="19">
        <v>0.0</v>
      </c>
      <c r="B32" s="18" t="s">
        <v>69</v>
      </c>
    </row>
  </sheetData>
  <printOptions gridLines="1" horizontalCentered="1"/>
  <pageMargins bottom="0.75" footer="0.0" header="0.0" left="0.7" right="0.7" top="0.75"/>
  <pageSetup paperSize="8" scale="143" cellComments="atEnd" orientation="landscape" pageOrder="overThenDown"/>
  <drawing r:id="rId1"/>
</worksheet>
</file>